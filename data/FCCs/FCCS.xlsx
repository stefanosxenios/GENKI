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/>
  <mc:AlternateContent xmlns:mc="http://schemas.openxmlformats.org/markup-compatibility/2006">
    <mc:Choice Requires="x15">
      <x15ac:absPath xmlns:x15ac="http://schemas.microsoft.com/office/spreadsheetml/2010/11/ac" url="/Users/stefanosxenios/Desktop/Evolutionary strategies/data/"/>
    </mc:Choice>
  </mc:AlternateContent>
  <xr:revisionPtr revIDLastSave="0" documentId="13_ncr:1_{6AB3960F-9B04-904A-B0F7-397890A5A95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proteomics" sheetId="1" r:id="rId1"/>
    <sheet name="fluxes" sheetId="3" r:id="rId2"/>
    <sheet name="FC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11" i="1"/>
  <c r="H13" i="1"/>
  <c r="H14" i="1"/>
  <c r="H15" i="1"/>
  <c r="H16" i="1"/>
  <c r="H17" i="1"/>
  <c r="H18" i="1"/>
  <c r="H19" i="1"/>
  <c r="H20" i="1"/>
  <c r="H23" i="1"/>
  <c r="H24" i="1"/>
  <c r="H5" i="1"/>
  <c r="N14" i="2" l="1"/>
  <c r="M14" i="2"/>
  <c r="J19" i="2"/>
  <c r="J20" i="2"/>
  <c r="J21" i="2"/>
  <c r="J22" i="2"/>
  <c r="J23" i="2"/>
  <c r="J24" i="2"/>
  <c r="J25" i="2"/>
  <c r="J26" i="2"/>
  <c r="J27" i="2"/>
  <c r="J28" i="2"/>
  <c r="J29" i="2"/>
  <c r="J18" i="2"/>
  <c r="J13" i="2"/>
  <c r="J10" i="2"/>
  <c r="J11" i="2"/>
  <c r="J12" i="2"/>
  <c r="J9" i="2"/>
  <c r="J3" i="2"/>
  <c r="J4" i="2"/>
  <c r="J5" i="2"/>
  <c r="J6" i="2"/>
  <c r="J7" i="2"/>
  <c r="J2" i="2"/>
  <c r="N8" i="2"/>
  <c r="N3" i="2"/>
  <c r="N4" i="2"/>
  <c r="N5" i="2"/>
  <c r="N6" i="2"/>
  <c r="N7" i="2"/>
  <c r="N9" i="2"/>
  <c r="N10" i="2"/>
  <c r="N11" i="2"/>
  <c r="N12" i="2"/>
  <c r="N13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2" i="2"/>
  <c r="M8" i="2"/>
  <c r="M3" i="2"/>
  <c r="M4" i="2"/>
  <c r="M5" i="2"/>
  <c r="M6" i="2"/>
  <c r="M7" i="2"/>
  <c r="M9" i="2"/>
  <c r="M10" i="2"/>
  <c r="M11" i="2"/>
  <c r="M12" i="2"/>
  <c r="M13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2" i="2"/>
  <c r="L14" i="2"/>
  <c r="L8" i="2"/>
  <c r="L3" i="2"/>
  <c r="L4" i="2"/>
  <c r="L5" i="2"/>
  <c r="L6" i="2"/>
  <c r="L7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2" i="2"/>
  <c r="K17" i="2"/>
  <c r="K13" i="2"/>
  <c r="K14" i="2"/>
  <c r="K8" i="2"/>
  <c r="K3" i="2"/>
  <c r="K4" i="2"/>
  <c r="K5" i="2"/>
  <c r="K6" i="2"/>
  <c r="K7" i="2"/>
  <c r="K9" i="2"/>
  <c r="K10" i="2"/>
  <c r="K11" i="2"/>
  <c r="K12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J15" i="2"/>
  <c r="J16" i="2"/>
  <c r="J17" i="2"/>
  <c r="J14" i="2"/>
  <c r="J8" i="2"/>
  <c r="I14" i="2"/>
  <c r="I8" i="2"/>
  <c r="I3" i="2"/>
  <c r="I4" i="2"/>
  <c r="I5" i="2"/>
  <c r="I6" i="2"/>
  <c r="I7" i="2"/>
  <c r="I9" i="2"/>
  <c r="I10" i="2"/>
  <c r="I11" i="2"/>
  <c r="I12" i="2"/>
  <c r="I13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  <c r="H15" i="2"/>
  <c r="H16" i="2"/>
  <c r="H17" i="2"/>
  <c r="H13" i="2"/>
  <c r="H14" i="2"/>
  <c r="H11" i="2"/>
  <c r="H12" i="2"/>
  <c r="H8" i="2"/>
  <c r="H3" i="2"/>
  <c r="H4" i="2"/>
  <c r="H5" i="2"/>
  <c r="H6" i="2"/>
  <c r="H7" i="2"/>
  <c r="H9" i="2"/>
  <c r="H10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G14" i="2"/>
  <c r="G8" i="2"/>
  <c r="G3" i="2"/>
  <c r="G4" i="2"/>
  <c r="G5" i="2"/>
  <c r="G6" i="2"/>
  <c r="G7" i="2"/>
  <c r="G9" i="2"/>
  <c r="G10" i="2"/>
  <c r="G11" i="2"/>
  <c r="G12" i="2"/>
  <c r="G1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F14" i="2"/>
  <c r="F8" i="2"/>
  <c r="F3" i="2"/>
  <c r="F4" i="2"/>
  <c r="F5" i="2"/>
  <c r="F6" i="2"/>
  <c r="F7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E14" i="2"/>
  <c r="E8" i="2"/>
  <c r="E3" i="2"/>
  <c r="E4" i="2"/>
  <c r="E5" i="2"/>
  <c r="E6" i="2"/>
  <c r="E7" i="2"/>
  <c r="E9" i="2"/>
  <c r="E10" i="2"/>
  <c r="E11" i="2"/>
  <c r="E12" i="2"/>
  <c r="E13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D14" i="2"/>
  <c r="D8" i="2"/>
  <c r="D3" i="2"/>
  <c r="D4" i="2"/>
  <c r="D5" i="2"/>
  <c r="D6" i="2"/>
  <c r="D7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2" i="2"/>
  <c r="C14" i="2"/>
  <c r="C8" i="2"/>
  <c r="B25" i="2"/>
  <c r="B14" i="2"/>
  <c r="B9" i="2"/>
  <c r="B8" i="2"/>
  <c r="B3" i="2"/>
  <c r="B4" i="2"/>
  <c r="B5" i="2"/>
  <c r="B6" i="2"/>
  <c r="B7" i="2"/>
  <c r="B10" i="2"/>
  <c r="B11" i="2"/>
  <c r="B12" i="2"/>
  <c r="B13" i="2"/>
  <c r="B15" i="2"/>
  <c r="B16" i="2"/>
  <c r="B17" i="2"/>
  <c r="B18" i="2"/>
  <c r="B19" i="2"/>
  <c r="B20" i="2"/>
  <c r="B21" i="2"/>
  <c r="B22" i="2"/>
  <c r="B23" i="2"/>
  <c r="B24" i="2"/>
  <c r="B26" i="2"/>
  <c r="B27" i="2"/>
  <c r="B28" i="2"/>
  <c r="B29" i="2"/>
  <c r="B2" i="2"/>
  <c r="E7" i="1"/>
  <c r="C3" i="2" s="1"/>
  <c r="E6" i="1"/>
  <c r="E5" i="1"/>
  <c r="E17" i="1"/>
  <c r="E12" i="1"/>
  <c r="D12" i="1"/>
  <c r="C12" i="1"/>
  <c r="E8" i="1"/>
  <c r="E20" i="1"/>
  <c r="E18" i="1"/>
  <c r="E16" i="1"/>
  <c r="E23" i="1"/>
  <c r="E22" i="1"/>
  <c r="C23" i="1"/>
  <c r="C22" i="1"/>
  <c r="E11" i="1"/>
  <c r="C5" i="1"/>
  <c r="E25" i="1"/>
  <c r="E24" i="1"/>
  <c r="E19" i="1"/>
  <c r="E14" i="1"/>
  <c r="E15" i="1"/>
  <c r="E13" i="1"/>
  <c r="D25" i="1"/>
  <c r="C25" i="1"/>
  <c r="C24" i="1"/>
  <c r="D14" i="1"/>
  <c r="C14" i="1"/>
  <c r="C13" i="1"/>
  <c r="C6" i="1"/>
  <c r="C2" i="2" l="1"/>
  <c r="C21" i="2"/>
  <c r="C12" i="2"/>
  <c r="C9" i="2"/>
  <c r="C29" i="2"/>
  <c r="C20" i="2"/>
  <c r="C11" i="2"/>
  <c r="C18" i="2"/>
  <c r="C26" i="2"/>
  <c r="C5" i="2"/>
  <c r="C28" i="2"/>
  <c r="C19" i="2"/>
  <c r="C10" i="2"/>
  <c r="C27" i="2"/>
  <c r="C25" i="2"/>
  <c r="C24" i="2"/>
  <c r="C16" i="2"/>
  <c r="C23" i="2"/>
  <c r="C15" i="2"/>
  <c r="C4" i="2"/>
  <c r="C7" i="2"/>
  <c r="C17" i="2"/>
  <c r="C6" i="2"/>
  <c r="C22" i="2"/>
  <c r="C13" i="2"/>
</calcChain>
</file>

<file path=xl/sharedStrings.xml><?xml version="1.0" encoding="utf-8"?>
<sst xmlns="http://schemas.openxmlformats.org/spreadsheetml/2006/main" count="187" uniqueCount="88">
  <si>
    <t>Enzymes</t>
  </si>
  <si>
    <t>reactions</t>
  </si>
  <si>
    <t>Enzyme steady (mg/g)</t>
  </si>
  <si>
    <t>Enzyme cut (mg/g)</t>
  </si>
  <si>
    <t>Log_scaled_change</t>
  </si>
  <si>
    <t>accepted</t>
  </si>
  <si>
    <t>galM</t>
  </si>
  <si>
    <t>EX_glc_e</t>
  </si>
  <si>
    <t>-</t>
  </si>
  <si>
    <t>no</t>
  </si>
  <si>
    <t>glk</t>
  </si>
  <si>
    <t>pgm</t>
  </si>
  <si>
    <t>pgi</t>
  </si>
  <si>
    <t>PGI</t>
  </si>
  <si>
    <t>yes</t>
  </si>
  <si>
    <t>pfkA</t>
  </si>
  <si>
    <t>PFK</t>
  </si>
  <si>
    <t>pfkB</t>
  </si>
  <si>
    <t>fbp</t>
  </si>
  <si>
    <t>FBP</t>
  </si>
  <si>
    <t>fbaB</t>
  </si>
  <si>
    <t>FBA</t>
  </si>
  <si>
    <t>gapC</t>
  </si>
  <si>
    <t>gpmA</t>
  </si>
  <si>
    <t>PGM</t>
  </si>
  <si>
    <t>gpmB</t>
  </si>
  <si>
    <t>pykA</t>
  </si>
  <si>
    <t>PYK</t>
  </si>
  <si>
    <t>pykF</t>
  </si>
  <si>
    <t>ppsA</t>
  </si>
  <si>
    <t>PPS</t>
  </si>
  <si>
    <t>zwf</t>
  </si>
  <si>
    <t>G6PDHr2</t>
  </si>
  <si>
    <t>pgl</t>
  </si>
  <si>
    <t>PGL</t>
  </si>
  <si>
    <t>gnd</t>
  </si>
  <si>
    <t>GND</t>
  </si>
  <si>
    <t>rpe</t>
  </si>
  <si>
    <t>RPE</t>
  </si>
  <si>
    <t>rpiA</t>
  </si>
  <si>
    <t>RPI</t>
  </si>
  <si>
    <t>rpiB</t>
  </si>
  <si>
    <t>tktA</t>
  </si>
  <si>
    <t>TKT1,TKT2</t>
  </si>
  <si>
    <t>tktB</t>
  </si>
  <si>
    <t>talA</t>
  </si>
  <si>
    <t>TALA</t>
  </si>
  <si>
    <t>talB</t>
  </si>
  <si>
    <t>Reaction</t>
  </si>
  <si>
    <t>steady state</t>
  </si>
  <si>
    <t>GLCpts</t>
  </si>
  <si>
    <t>TPI</t>
  </si>
  <si>
    <t>GAPD</t>
  </si>
  <si>
    <t>PDH</t>
  </si>
  <si>
    <t>-0,146</t>
  </si>
  <si>
    <t>-0,164</t>
  </si>
  <si>
    <t>TKT1</t>
  </si>
  <si>
    <t>-0,029</t>
  </si>
  <si>
    <t>TKT2</t>
  </si>
  <si>
    <t>-0,117</t>
  </si>
  <si>
    <t>-0,036</t>
  </si>
  <si>
    <t>CS</t>
  </si>
  <si>
    <t>ACONTa</t>
  </si>
  <si>
    <t>ICDHyr</t>
  </si>
  <si>
    <t>AKGDH</t>
  </si>
  <si>
    <t>SUCDi</t>
  </si>
  <si>
    <t>FUM</t>
  </si>
  <si>
    <t>MDH</t>
  </si>
  <si>
    <t>PPC</t>
  </si>
  <si>
    <t>ME1</t>
  </si>
  <si>
    <t>ICL</t>
  </si>
  <si>
    <t>MALS</t>
  </si>
  <si>
    <t>EX_co2_e</t>
  </si>
  <si>
    <t>fcc(pgi)</t>
  </si>
  <si>
    <t>fcc(pfkB)</t>
  </si>
  <si>
    <t>fcc(fbp)</t>
  </si>
  <si>
    <t>fcc(gpmA)</t>
  </si>
  <si>
    <t>fcc(pykA)</t>
  </si>
  <si>
    <t>fcc(ppsA)</t>
  </si>
  <si>
    <t>fcc(zwf)</t>
  </si>
  <si>
    <t>fcc(pgl)</t>
  </si>
  <si>
    <t>fcc(gnd)</t>
  </si>
  <si>
    <t>fcc(rpe)</t>
  </si>
  <si>
    <t>fcc(rpiA)</t>
  </si>
  <si>
    <t>fcc(tktB)</t>
  </si>
  <si>
    <t>fcc(talA)</t>
  </si>
  <si>
    <t xml:space="preserve">Completed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</si>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</sst>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0000"/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readingOrder="1"/>
    </xf>
    <xf numFmtId="0" fontId="1" fillId="0" borderId="2" xfId="0" applyFont="1" applyBorder="1" applyAlignment="1">
      <alignment horizontal="center" readingOrder="1"/>
    </xf>
    <xf numFmtId="0" fontId="1" fillId="0" borderId="3" xfId="0" applyFont="1" applyBorder="1" applyAlignment="1">
      <alignment horizontal="center" readingOrder="1"/>
    </xf>
    <xf numFmtId="164" fontId="1" fillId="0" borderId="1" xfId="0" applyNumberFormat="1" applyFont="1" applyBorder="1" applyAlignment="1">
      <alignment horizontal="center" readingOrder="1"/>
    </xf>
    <xf numFmtId="164" fontId="1" fillId="0" borderId="2" xfId="0" applyNumberFormat="1" applyFont="1" applyBorder="1" applyAlignment="1">
      <alignment horizontal="center" readingOrder="1"/>
    </xf>
    <xf numFmtId="164" fontId="1" fillId="0" borderId="2" xfId="0" quotePrefix="1" applyNumberFormat="1" applyFont="1" applyBorder="1" applyAlignment="1">
      <alignment horizontal="center" readingOrder="1"/>
    </xf>
    <xf numFmtId="164" fontId="1" fillId="0" borderId="3" xfId="0" applyNumberFormat="1" applyFont="1" applyBorder="1" applyAlignment="1">
      <alignment horizontal="center" readingOrder="1"/>
    </xf>
    <xf numFmtId="0" fontId="1" fillId="0" borderId="2" xfId="0" quotePrefix="1" applyFont="1" applyBorder="1" applyAlignment="1">
      <alignment horizontal="center" readingOrder="1"/>
    </xf>
    <xf numFmtId="165" fontId="1" fillId="0" borderId="1" xfId="0" applyNumberFormat="1" applyFont="1" applyBorder="1" applyAlignment="1">
      <alignment horizontal="center" readingOrder="1"/>
    </xf>
    <xf numFmtId="165" fontId="1" fillId="0" borderId="2" xfId="0" applyNumberFormat="1" applyFont="1" applyBorder="1" applyAlignment="1">
      <alignment horizontal="center" readingOrder="1"/>
    </xf>
    <xf numFmtId="165" fontId="1" fillId="0" borderId="2" xfId="0" quotePrefix="1" applyNumberFormat="1" applyFont="1" applyBorder="1" applyAlignment="1">
      <alignment horizontal="center" readingOrder="1"/>
    </xf>
    <xf numFmtId="165" fontId="1" fillId="0" borderId="3" xfId="0" applyNumberFormat="1" applyFont="1" applyBorder="1" applyAlignment="1">
      <alignment horizontal="center" readingOrder="1"/>
    </xf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2" fontId="0" fillId="2" borderId="0" xfId="0" applyNumberFormat="1" applyFill="1"/>
    <xf numFmtId="0" fontId="0" fillId="2" borderId="0" xfId="0" applyFill="1"/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0" fillId="3" borderId="0" xfId="0" applyFill="1"/>
    <xf numFmtId="167" fontId="0" fillId="3" borderId="0" xfId="0" applyNumberFormat="1" applyFill="1"/>
    <xf numFmtId="2" fontId="0" fillId="3" borderId="0" xfId="0" applyNumberFormat="1" applyFill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baseColWidth="10" defaultColWidth="8.83203125" defaultRowHeight="15" x14ac:dyDescent="0.2"/>
  <cols>
    <col min="1" max="1" width="23.6640625" customWidth="1"/>
    <col min="2" max="2" width="20" customWidth="1"/>
    <col min="3" max="3" width="22.5" customWidth="1"/>
    <col min="4" max="4" width="18.5" customWidth="1"/>
    <col min="5" max="5" width="20.5" customWidth="1"/>
    <col min="6" max="6" width="14.1640625" customWidth="1"/>
    <col min="7" max="7" width="9.5" bestFit="1" customWidth="1"/>
    <col min="8" max="8" width="8.83203125" style="17"/>
  </cols>
  <sheetData>
    <row r="1" spans="1:8" ht="17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86</v>
      </c>
    </row>
    <row r="2" spans="1:8" x14ac:dyDescent="0.2">
      <c r="A2" s="1" t="s">
        <v>6</v>
      </c>
      <c r="B2" s="1" t="s">
        <v>7</v>
      </c>
      <c r="C2" s="1">
        <v>8.4199999999999997E-2</v>
      </c>
      <c r="D2" s="1">
        <v>1.6299999999999999E-3</v>
      </c>
      <c r="E2" s="1" t="s">
        <v>8</v>
      </c>
      <c r="F2" s="1" t="s">
        <v>9</v>
      </c>
    </row>
    <row r="3" spans="1:8" x14ac:dyDescent="0.2">
      <c r="A3" s="1" t="s">
        <v>10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9</v>
      </c>
    </row>
    <row r="4" spans="1:8" x14ac:dyDescent="0.2">
      <c r="A4" s="1" t="s">
        <v>11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9</v>
      </c>
    </row>
    <row r="5" spans="1:8" s="20" customFormat="1" x14ac:dyDescent="0.2">
      <c r="A5" s="18" t="s">
        <v>12</v>
      </c>
      <c r="B5" s="18" t="s">
        <v>13</v>
      </c>
      <c r="C5" s="18">
        <f>0.271</f>
        <v>0.27100000000000002</v>
      </c>
      <c r="D5" s="18">
        <v>1.66E-2</v>
      </c>
      <c r="E5" s="18">
        <f>LN(C5)-LN(D5)</f>
        <v>2.7927161255172033</v>
      </c>
      <c r="F5" s="18" t="s">
        <v>14</v>
      </c>
      <c r="G5" s="18" t="s">
        <v>87</v>
      </c>
      <c r="H5" s="19">
        <f>D5/C5</f>
        <v>6.1254612546125457E-2</v>
      </c>
    </row>
    <row r="6" spans="1:8" s="23" customFormat="1" x14ac:dyDescent="0.2">
      <c r="A6" s="21" t="s">
        <v>15</v>
      </c>
      <c r="B6" s="21" t="s">
        <v>16</v>
      </c>
      <c r="C6" s="21">
        <f>0.0169 + 0.119</f>
        <v>0.13589999999999999</v>
      </c>
      <c r="D6" s="26">
        <v>2.17</v>
      </c>
      <c r="E6" s="21">
        <f>LN(C6)-LN(D6)</f>
        <v>-2.7705631253774072</v>
      </c>
      <c r="F6" s="21" t="s">
        <v>9</v>
      </c>
      <c r="H6" s="25">
        <f t="shared" ref="H6:H24" si="0">D6/C6</f>
        <v>15.967623252391464</v>
      </c>
    </row>
    <row r="7" spans="1:8" s="23" customFormat="1" x14ac:dyDescent="0.2">
      <c r="A7" s="21" t="s">
        <v>17</v>
      </c>
      <c r="B7" s="21" t="s">
        <v>16</v>
      </c>
      <c r="C7" s="21">
        <v>0.11899999999999999</v>
      </c>
      <c r="D7" s="22">
        <v>1E-4</v>
      </c>
      <c r="E7" s="21">
        <f>LN(C7)-LN(D7)</f>
        <v>7.0817085861055737</v>
      </c>
      <c r="F7" s="21" t="s">
        <v>14</v>
      </c>
      <c r="H7" s="24">
        <f t="shared" si="0"/>
        <v>8.4033613445378156E-4</v>
      </c>
    </row>
    <row r="8" spans="1:8" s="23" customFormat="1" x14ac:dyDescent="0.2">
      <c r="A8" s="21" t="s">
        <v>18</v>
      </c>
      <c r="B8" s="21" t="s">
        <v>19</v>
      </c>
      <c r="C8" s="21">
        <v>0.18099999999999999</v>
      </c>
      <c r="D8" s="22">
        <v>1E-4</v>
      </c>
      <c r="E8" s="22">
        <f>LN(C8)-LN(D8)</f>
        <v>7.5010821242598702</v>
      </c>
      <c r="F8" s="21" t="s">
        <v>14</v>
      </c>
      <c r="H8" s="24">
        <f t="shared" si="0"/>
        <v>5.5248618784530391E-4</v>
      </c>
    </row>
    <row r="9" spans="1:8" s="23" customFormat="1" x14ac:dyDescent="0.2">
      <c r="A9" s="21" t="s">
        <v>20</v>
      </c>
      <c r="B9" s="21" t="s">
        <v>21</v>
      </c>
      <c r="C9" s="21" t="s">
        <v>8</v>
      </c>
      <c r="D9" s="21" t="s">
        <v>8</v>
      </c>
      <c r="E9" s="21" t="s">
        <v>8</v>
      </c>
      <c r="F9" s="21" t="s">
        <v>9</v>
      </c>
      <c r="H9" s="25"/>
    </row>
    <row r="10" spans="1:8" s="23" customFormat="1" x14ac:dyDescent="0.2">
      <c r="A10" s="21" t="s">
        <v>22</v>
      </c>
      <c r="B10" s="21" t="s">
        <v>8</v>
      </c>
      <c r="C10" s="21" t="s">
        <v>8</v>
      </c>
      <c r="D10" s="21" t="s">
        <v>8</v>
      </c>
      <c r="E10" s="21" t="s">
        <v>8</v>
      </c>
      <c r="F10" s="21" t="s">
        <v>9</v>
      </c>
      <c r="H10" s="25"/>
    </row>
    <row r="11" spans="1:8" s="20" customFormat="1" x14ac:dyDescent="0.2">
      <c r="A11" s="18" t="s">
        <v>23</v>
      </c>
      <c r="B11" s="18" t="s">
        <v>24</v>
      </c>
      <c r="C11" s="18">
        <v>1.1399999999999999</v>
      </c>
      <c r="D11" s="18">
        <v>2.8000000000000001E-2</v>
      </c>
      <c r="E11" s="18">
        <f>LN(C11)-LN(D11)</f>
        <v>3.7065790312133369</v>
      </c>
      <c r="F11" s="18" t="s">
        <v>14</v>
      </c>
      <c r="H11" s="19">
        <f t="shared" si="0"/>
        <v>2.4561403508771933E-2</v>
      </c>
    </row>
    <row r="12" spans="1:8" s="23" customFormat="1" x14ac:dyDescent="0.2">
      <c r="A12" s="21" t="s">
        <v>25</v>
      </c>
      <c r="B12" s="21" t="s">
        <v>24</v>
      </c>
      <c r="C12" s="21">
        <f>1.14</f>
        <v>1.1399999999999999</v>
      </c>
      <c r="D12" s="21">
        <f>1.48</f>
        <v>1.48</v>
      </c>
      <c r="E12" s="21">
        <f>LN(C12)-LN(D12)</f>
        <v>-0.2610138253696197</v>
      </c>
      <c r="F12" s="21" t="s">
        <v>9</v>
      </c>
      <c r="H12" s="25"/>
    </row>
    <row r="13" spans="1:8" s="20" customFormat="1" x14ac:dyDescent="0.2">
      <c r="A13" s="18" t="s">
        <v>26</v>
      </c>
      <c r="B13" s="18" t="s">
        <v>27</v>
      </c>
      <c r="C13" s="18">
        <f xml:space="preserve"> 0.254+ 0.676</f>
        <v>0.93</v>
      </c>
      <c r="D13" s="18">
        <v>0.32</v>
      </c>
      <c r="E13" s="18">
        <f>LN(C13)-LN(D13)</f>
        <v>1.0668635903535295</v>
      </c>
      <c r="F13" s="18" t="s">
        <v>14</v>
      </c>
      <c r="H13" s="19">
        <f t="shared" si="0"/>
        <v>0.34408602150537632</v>
      </c>
    </row>
    <row r="14" spans="1:8" s="23" customFormat="1" x14ac:dyDescent="0.2">
      <c r="A14" s="21" t="s">
        <v>28</v>
      </c>
      <c r="B14" s="21" t="s">
        <v>27</v>
      </c>
      <c r="C14" s="21">
        <f>C13</f>
        <v>0.93</v>
      </c>
      <c r="D14" s="21">
        <f>0.153+0.00599</f>
        <v>0.15898999999999999</v>
      </c>
      <c r="E14" s="21">
        <f t="shared" ref="E14:E16" si="1">LN(C14)-LN(D14)</f>
        <v>1.766343278986684</v>
      </c>
      <c r="F14" s="21" t="s">
        <v>9</v>
      </c>
      <c r="H14" s="25">
        <f t="shared" si="0"/>
        <v>0.17095698924731181</v>
      </c>
    </row>
    <row r="15" spans="1:8" s="20" customFormat="1" x14ac:dyDescent="0.2">
      <c r="A15" s="18" t="s">
        <v>29</v>
      </c>
      <c r="B15" s="18" t="s">
        <v>30</v>
      </c>
      <c r="C15" s="18">
        <v>0.32200000000000001</v>
      </c>
      <c r="D15" s="18">
        <v>4.45E-3</v>
      </c>
      <c r="E15" s="18">
        <f t="shared" si="1"/>
        <v>4.2816474493662593</v>
      </c>
      <c r="F15" s="18" t="s">
        <v>14</v>
      </c>
      <c r="H15" s="19">
        <f t="shared" si="0"/>
        <v>1.3819875776397515E-2</v>
      </c>
    </row>
    <row r="16" spans="1:8" s="23" customFormat="1" x14ac:dyDescent="0.2">
      <c r="A16" s="21" t="s">
        <v>31</v>
      </c>
      <c r="B16" s="21" t="s">
        <v>32</v>
      </c>
      <c r="C16" s="21">
        <v>7.6300000000000007E-2</v>
      </c>
      <c r="D16" s="22">
        <v>1E-4</v>
      </c>
      <c r="E16" s="21">
        <f t="shared" si="1"/>
        <v>6.637258031284456</v>
      </c>
      <c r="F16" s="21" t="s">
        <v>14</v>
      </c>
      <c r="H16" s="25">
        <f t="shared" si="0"/>
        <v>1.3106159895150721E-3</v>
      </c>
    </row>
    <row r="17" spans="1:8" s="20" customFormat="1" x14ac:dyDescent="0.2">
      <c r="A17" s="18" t="s">
        <v>33</v>
      </c>
      <c r="B17" s="18" t="s">
        <v>34</v>
      </c>
      <c r="C17" s="18">
        <v>0.152</v>
      </c>
      <c r="D17" s="18">
        <v>1.6899999999999998E-2</v>
      </c>
      <c r="E17" s="18">
        <f>LN(C17)-LN(D17)</f>
        <v>2.1965668989172489</v>
      </c>
      <c r="F17" s="18" t="s">
        <v>14</v>
      </c>
      <c r="H17" s="19">
        <f t="shared" si="0"/>
        <v>0.11118421052631579</v>
      </c>
    </row>
    <row r="18" spans="1:8" s="23" customFormat="1" x14ac:dyDescent="0.2">
      <c r="A18" s="21" t="s">
        <v>35</v>
      </c>
      <c r="B18" s="21" t="s">
        <v>36</v>
      </c>
      <c r="C18" s="21">
        <v>0.33800000000000002</v>
      </c>
      <c r="D18" s="22">
        <v>1E-4</v>
      </c>
      <c r="E18" s="21">
        <f>LN(C18)-LN(D18)</f>
        <v>8.125630988477063</v>
      </c>
      <c r="F18" s="21" t="s">
        <v>14</v>
      </c>
      <c r="H18" s="25">
        <f t="shared" si="0"/>
        <v>2.9585798816568048E-4</v>
      </c>
    </row>
    <row r="19" spans="1:8" s="23" customFormat="1" x14ac:dyDescent="0.2">
      <c r="A19" s="21" t="s">
        <v>37</v>
      </c>
      <c r="B19" s="21" t="s">
        <v>38</v>
      </c>
      <c r="C19" s="21">
        <v>9.9599999999999994E-2</v>
      </c>
      <c r="D19" s="21">
        <v>5.3800000000000002E-3</v>
      </c>
      <c r="E19" s="21">
        <f>LN(C19)-LN(D19)</f>
        <v>2.9184737904168596</v>
      </c>
      <c r="F19" s="21" t="s">
        <v>14</v>
      </c>
      <c r="H19" s="25">
        <f t="shared" si="0"/>
        <v>5.4016064257028117E-2</v>
      </c>
    </row>
    <row r="20" spans="1:8" s="20" customFormat="1" x14ac:dyDescent="0.2">
      <c r="A20" s="18" t="s">
        <v>39</v>
      </c>
      <c r="B20" s="18" t="s">
        <v>40</v>
      </c>
      <c r="C20" s="18">
        <v>6.0499999999999998E-2</v>
      </c>
      <c r="D20" s="18">
        <v>3.0099999999999998E-2</v>
      </c>
      <c r="E20" s="18">
        <f>LN(C20)-LN(D20)</f>
        <v>0.69811819328196556</v>
      </c>
      <c r="F20" s="18" t="s">
        <v>14</v>
      </c>
      <c r="H20" s="19">
        <f t="shared" si="0"/>
        <v>0.49752066115702476</v>
      </c>
    </row>
    <row r="21" spans="1:8" s="23" customFormat="1" x14ac:dyDescent="0.2">
      <c r="A21" s="21" t="s">
        <v>41</v>
      </c>
      <c r="B21" s="21" t="s">
        <v>40</v>
      </c>
      <c r="C21" s="21" t="s">
        <v>8</v>
      </c>
      <c r="D21" s="21" t="s">
        <v>8</v>
      </c>
      <c r="E21" s="21" t="s">
        <v>8</v>
      </c>
      <c r="F21" s="21" t="s">
        <v>9</v>
      </c>
      <c r="H21" s="25"/>
    </row>
    <row r="22" spans="1:8" s="23" customFormat="1" x14ac:dyDescent="0.2">
      <c r="A22" s="21" t="s">
        <v>42</v>
      </c>
      <c r="B22" s="21" t="s">
        <v>43</v>
      </c>
      <c r="C22" s="21">
        <f>0.655+ 0.392</f>
        <v>1.0470000000000002</v>
      </c>
      <c r="D22" s="21">
        <v>0.98399999999999999</v>
      </c>
      <c r="E22" s="21">
        <f>LN(C22)-LN(D22)</f>
        <v>6.2058313818283597E-2</v>
      </c>
      <c r="F22" s="21" t="s">
        <v>9</v>
      </c>
      <c r="H22" s="25"/>
    </row>
    <row r="23" spans="1:8" s="23" customFormat="1" x14ac:dyDescent="0.2">
      <c r="A23" s="21" t="s">
        <v>44</v>
      </c>
      <c r="B23" s="21" t="s">
        <v>43</v>
      </c>
      <c r="C23" s="21">
        <f>0.655+ 0.392</f>
        <v>1.0470000000000002</v>
      </c>
      <c r="D23" s="21">
        <v>0.24</v>
      </c>
      <c r="E23" s="21">
        <f>LN(C23)-LN(D23)</f>
        <v>1.4730452875285458</v>
      </c>
      <c r="F23" s="21" t="s">
        <v>14</v>
      </c>
      <c r="H23" s="25">
        <f t="shared" si="0"/>
        <v>0.22922636103151858</v>
      </c>
    </row>
    <row r="24" spans="1:8" s="20" customFormat="1" x14ac:dyDescent="0.2">
      <c r="A24" s="18" t="s">
        <v>45</v>
      </c>
      <c r="B24" s="18" t="s">
        <v>46</v>
      </c>
      <c r="C24" s="18">
        <f>0.264+0.337</f>
        <v>0.60099999999999998</v>
      </c>
      <c r="D24" s="18">
        <v>0.19900000000000001</v>
      </c>
      <c r="E24" s="18">
        <f>LN(C24)-LN(D24)</f>
        <v>1.1052901098107151</v>
      </c>
      <c r="F24" s="18" t="s">
        <v>14</v>
      </c>
      <c r="H24" s="19">
        <f t="shared" si="0"/>
        <v>0.3311148086522463</v>
      </c>
    </row>
    <row r="25" spans="1:8" x14ac:dyDescent="0.2">
      <c r="A25" s="1" t="s">
        <v>47</v>
      </c>
      <c r="B25" s="1" t="s">
        <v>46</v>
      </c>
      <c r="C25" s="1">
        <f>C24</f>
        <v>0.60099999999999998</v>
      </c>
      <c r="D25" s="1">
        <f>0.234+ 0.00697</f>
        <v>0.24097000000000002</v>
      </c>
      <c r="E25" s="1">
        <f>LN(C25)-LN(D25)</f>
        <v>0.91392249012079696</v>
      </c>
      <c r="F2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7950-0A90-4FAB-9963-667B72EC2E52}">
  <dimension ref="A1:O29"/>
  <sheetViews>
    <sheetView workbookViewId="0">
      <selection activeCell="N2" sqref="N2"/>
    </sheetView>
  </sheetViews>
  <sheetFormatPr baseColWidth="10" defaultColWidth="8.83203125" defaultRowHeight="15" x14ac:dyDescent="0.2"/>
  <cols>
    <col min="1" max="1" width="12.83203125" bestFit="1" customWidth="1"/>
    <col min="2" max="2" width="20.6640625" customWidth="1"/>
    <col min="3" max="3" width="13.83203125" customWidth="1"/>
    <col min="4" max="4" width="14.5" customWidth="1"/>
    <col min="5" max="5" width="12.33203125" customWidth="1"/>
    <col min="6" max="6" width="15.33203125" customWidth="1"/>
    <col min="7" max="7" width="13.6640625" customWidth="1"/>
    <col min="8" max="8" width="16.33203125" customWidth="1"/>
    <col min="9" max="9" width="16.1640625" customWidth="1"/>
    <col min="10" max="10" width="16.6640625" customWidth="1"/>
    <col min="11" max="11" width="14.1640625" customWidth="1"/>
    <col min="12" max="12" width="12.83203125" customWidth="1"/>
    <col min="13" max="13" width="12" customWidth="1"/>
    <col min="14" max="14" width="12.5" customWidth="1"/>
    <col min="15" max="15" width="13.33203125" customWidth="1"/>
  </cols>
  <sheetData>
    <row r="1" spans="1:15" ht="16" x14ac:dyDescent="0.2">
      <c r="A1" s="3" t="s">
        <v>48</v>
      </c>
      <c r="B1" s="1" t="s">
        <v>49</v>
      </c>
      <c r="C1" s="1" t="s">
        <v>12</v>
      </c>
      <c r="D1" s="1" t="s">
        <v>17</v>
      </c>
      <c r="E1" s="1" t="s">
        <v>18</v>
      </c>
      <c r="F1" s="1" t="s">
        <v>23</v>
      </c>
      <c r="G1" s="1" t="s">
        <v>26</v>
      </c>
      <c r="H1" s="1" t="s">
        <v>29</v>
      </c>
      <c r="I1" s="1" t="s">
        <v>31</v>
      </c>
      <c r="J1" s="1" t="s">
        <v>33</v>
      </c>
      <c r="K1" s="1" t="s">
        <v>35</v>
      </c>
      <c r="L1" s="1" t="s">
        <v>37</v>
      </c>
      <c r="M1" s="1" t="s">
        <v>39</v>
      </c>
      <c r="N1" s="1" t="s">
        <v>44</v>
      </c>
      <c r="O1" s="1" t="s">
        <v>45</v>
      </c>
    </row>
    <row r="2" spans="1:15" ht="16" x14ac:dyDescent="0.2">
      <c r="A2" s="4" t="s">
        <v>50</v>
      </c>
      <c r="B2" s="3">
        <v>2.7519999999999998</v>
      </c>
      <c r="C2" s="6">
        <v>2.73</v>
      </c>
      <c r="D2" s="6">
        <v>2.84</v>
      </c>
      <c r="E2" s="6">
        <v>2.7</v>
      </c>
      <c r="F2" s="11">
        <v>2.7</v>
      </c>
      <c r="G2" s="11">
        <v>2.82</v>
      </c>
      <c r="H2" s="11">
        <v>3</v>
      </c>
      <c r="I2" s="6">
        <v>3.18</v>
      </c>
      <c r="J2" s="11">
        <v>3.36</v>
      </c>
      <c r="K2" s="11">
        <v>2.92</v>
      </c>
      <c r="L2" s="11">
        <v>3.63</v>
      </c>
      <c r="M2" s="6">
        <v>3.18</v>
      </c>
      <c r="N2" s="11">
        <v>2.97</v>
      </c>
      <c r="O2" s="11">
        <v>2.8</v>
      </c>
    </row>
    <row r="3" spans="1:15" ht="16" x14ac:dyDescent="0.2">
      <c r="A3" s="4" t="s">
        <v>13</v>
      </c>
      <c r="B3" s="12">
        <v>1.843</v>
      </c>
      <c r="C3" s="7">
        <v>1E-4</v>
      </c>
      <c r="D3" s="7">
        <v>1.4770000000000001</v>
      </c>
      <c r="E3" s="7">
        <v>2.2949999999999999</v>
      </c>
      <c r="F3" s="12">
        <v>2.2410000000000001</v>
      </c>
      <c r="G3" s="12">
        <v>2.0870000000000002</v>
      </c>
      <c r="H3" s="12">
        <v>2.04</v>
      </c>
      <c r="I3" s="7">
        <v>3.1480000000000001</v>
      </c>
      <c r="J3" s="12">
        <v>2.621</v>
      </c>
      <c r="K3" s="12">
        <v>2.891</v>
      </c>
      <c r="L3" s="12">
        <v>3.34</v>
      </c>
      <c r="M3" s="7">
        <v>2.1309999999999998</v>
      </c>
      <c r="N3" s="12">
        <v>2.5539999999999998</v>
      </c>
      <c r="O3" s="12">
        <v>2.38</v>
      </c>
    </row>
    <row r="4" spans="1:15" ht="16" x14ac:dyDescent="0.2">
      <c r="A4" s="4" t="s">
        <v>16</v>
      </c>
      <c r="B4" s="12">
        <v>2.3730000000000002</v>
      </c>
      <c r="C4" s="7">
        <v>0.92800000000000005</v>
      </c>
      <c r="D4" s="7">
        <v>2.1869999999999998</v>
      </c>
      <c r="E4" s="7">
        <v>2.3490000000000002</v>
      </c>
      <c r="F4" s="12">
        <v>2.3220000000000001</v>
      </c>
      <c r="G4" s="12">
        <v>2.3690000000000002</v>
      </c>
      <c r="H4" s="12">
        <v>2.46</v>
      </c>
      <c r="I4" s="7">
        <v>2.9569999999999999</v>
      </c>
      <c r="J4" s="12">
        <v>2.89</v>
      </c>
      <c r="K4" s="12">
        <v>2.7160000000000002</v>
      </c>
      <c r="L4" s="12">
        <v>3.34</v>
      </c>
      <c r="M4" s="7">
        <v>2.194</v>
      </c>
      <c r="N4" s="12">
        <v>2.6139999999999999</v>
      </c>
      <c r="O4" s="12">
        <v>2.4359999999999999</v>
      </c>
    </row>
    <row r="5" spans="1:15" ht="16" x14ac:dyDescent="0.2">
      <c r="A5" s="4" t="s">
        <v>21</v>
      </c>
      <c r="B5" s="12">
        <v>2.2829999999999999</v>
      </c>
      <c r="C5" s="7">
        <v>0.92800000000000005</v>
      </c>
      <c r="D5" s="7">
        <v>2.1869999999999998</v>
      </c>
      <c r="E5" s="7">
        <v>2.3490000000000002</v>
      </c>
      <c r="F5" s="12">
        <v>2.3220000000000001</v>
      </c>
      <c r="G5" s="12">
        <v>2.3690000000000002</v>
      </c>
      <c r="H5" s="12">
        <v>2.46</v>
      </c>
      <c r="I5" s="7">
        <v>2.9569999999999999</v>
      </c>
      <c r="J5" s="12">
        <v>2.89</v>
      </c>
      <c r="K5" s="12">
        <v>2.7160000000000002</v>
      </c>
      <c r="L5" s="12">
        <v>3.34</v>
      </c>
      <c r="M5" s="7">
        <v>2.194</v>
      </c>
      <c r="N5" s="12">
        <v>2.6139999999999999</v>
      </c>
      <c r="O5" s="12">
        <v>2.4359999999999999</v>
      </c>
    </row>
    <row r="6" spans="1:15" ht="16" x14ac:dyDescent="0.2">
      <c r="A6" s="4" t="s">
        <v>51</v>
      </c>
      <c r="B6" s="12">
        <v>2.2829999999999999</v>
      </c>
      <c r="C6" s="7">
        <v>0.92800000000000005</v>
      </c>
      <c r="D6" s="7">
        <v>2.1869999999999998</v>
      </c>
      <c r="E6" s="7">
        <v>2.3490000000000002</v>
      </c>
      <c r="F6" s="12">
        <v>2.3220000000000001</v>
      </c>
      <c r="G6" s="12">
        <v>2.3690000000000002</v>
      </c>
      <c r="H6" s="12">
        <v>2.46</v>
      </c>
      <c r="I6" s="7">
        <v>2.9569999999999999</v>
      </c>
      <c r="J6" s="12">
        <v>2.89</v>
      </c>
      <c r="K6" s="12">
        <v>2.7160000000000002</v>
      </c>
      <c r="L6" s="12">
        <v>3.34</v>
      </c>
      <c r="M6" s="7">
        <v>2.194</v>
      </c>
      <c r="N6" s="12">
        <v>2.6139999999999999</v>
      </c>
      <c r="O6" s="12">
        <v>2.4359999999999999</v>
      </c>
    </row>
    <row r="7" spans="1:15" ht="16" x14ac:dyDescent="0.2">
      <c r="A7" s="4" t="s">
        <v>52</v>
      </c>
      <c r="B7" s="12">
        <v>4.7380000000000004</v>
      </c>
      <c r="C7" s="7">
        <v>3.2759999999999998</v>
      </c>
      <c r="D7" s="7">
        <v>4.6289999999999996</v>
      </c>
      <c r="E7" s="7">
        <v>4.6710000000000003</v>
      </c>
      <c r="F7" s="12">
        <v>4.6440000000000001</v>
      </c>
      <c r="G7" s="12">
        <v>4.7939999999999996</v>
      </c>
      <c r="H7" s="12">
        <v>5.0999999999999996</v>
      </c>
      <c r="I7" s="7">
        <v>5.7560000000000002</v>
      </c>
      <c r="J7" s="12">
        <v>5.8129999999999997</v>
      </c>
      <c r="K7" s="12">
        <v>5.3140000000000001</v>
      </c>
      <c r="L7" s="12">
        <v>6.57</v>
      </c>
      <c r="M7" s="7">
        <v>4.9930000000000003</v>
      </c>
      <c r="N7" s="12">
        <v>5.1980000000000004</v>
      </c>
      <c r="O7" s="12">
        <v>4.8719999999999999</v>
      </c>
    </row>
    <row r="8" spans="1:15" ht="16" x14ac:dyDescent="0.2">
      <c r="A8" s="4" t="s">
        <v>24</v>
      </c>
      <c r="B8" s="12">
        <v>-4.4710000000000001</v>
      </c>
      <c r="C8" s="7">
        <v>-2.976</v>
      </c>
      <c r="D8" s="7">
        <v>-4.3449999999999998</v>
      </c>
      <c r="E8" s="7">
        <v>-4.3739999999999997</v>
      </c>
      <c r="F8" s="12">
        <v>-4.3470000000000004</v>
      </c>
      <c r="G8" s="12">
        <v>-4.5119999999999996</v>
      </c>
      <c r="H8" s="12">
        <v>-4.8</v>
      </c>
      <c r="I8" s="7">
        <v>-5.4379999999999997</v>
      </c>
      <c r="J8" s="12">
        <v>-5.4429999999999996</v>
      </c>
      <c r="K8" s="12">
        <v>-5.0519999999999996</v>
      </c>
      <c r="L8" s="12">
        <v>-6.28</v>
      </c>
      <c r="M8" s="7">
        <v>-4.7060000000000004</v>
      </c>
      <c r="N8" s="12">
        <v>-4.9009999999999998</v>
      </c>
      <c r="O8" s="12">
        <v>-4.5640000000000001</v>
      </c>
    </row>
    <row r="9" spans="1:15" ht="16" x14ac:dyDescent="0.2">
      <c r="A9" s="4" t="s">
        <v>27</v>
      </c>
      <c r="B9" s="12">
        <v>1.56</v>
      </c>
      <c r="C9" s="7">
        <v>0.13700000000000001</v>
      </c>
      <c r="D9" s="7">
        <v>1.3919999999999999</v>
      </c>
      <c r="E9" s="7">
        <v>1.5389999999999999</v>
      </c>
      <c r="F9" s="12">
        <v>1.107</v>
      </c>
      <c r="G9" s="12">
        <v>1.4379999999999999</v>
      </c>
      <c r="H9" s="12">
        <v>1.05</v>
      </c>
      <c r="I9" s="7">
        <v>2.1619999999999999</v>
      </c>
      <c r="J9" s="12">
        <v>1.714</v>
      </c>
      <c r="K9" s="12">
        <v>1.956</v>
      </c>
      <c r="L9" s="12">
        <v>2.5409999999999999</v>
      </c>
      <c r="M9" s="7">
        <v>1.431</v>
      </c>
      <c r="N9" s="12">
        <v>1.1879999999999999</v>
      </c>
      <c r="O9" s="12">
        <v>1.0920000000000001</v>
      </c>
    </row>
    <row r="10" spans="1:15" ht="16" x14ac:dyDescent="0.2">
      <c r="A10" s="4" t="s">
        <v>53</v>
      </c>
      <c r="B10" s="12">
        <v>3.8940000000000001</v>
      </c>
      <c r="C10" s="7">
        <v>3.331</v>
      </c>
      <c r="D10" s="7">
        <v>3.6920000000000002</v>
      </c>
      <c r="E10" s="7">
        <v>3.8340000000000001</v>
      </c>
      <c r="F10" s="12">
        <v>3.1859999999999999</v>
      </c>
      <c r="G10" s="12">
        <v>3.6379999999999999</v>
      </c>
      <c r="H10" s="12">
        <v>3.42</v>
      </c>
      <c r="I10" s="7">
        <v>4.9610000000000003</v>
      </c>
      <c r="J10" s="12">
        <v>4.4020000000000001</v>
      </c>
      <c r="K10" s="12">
        <v>4.351</v>
      </c>
      <c r="L10" s="12">
        <v>5.5540000000000003</v>
      </c>
      <c r="M10" s="7">
        <v>4.6109999999999998</v>
      </c>
      <c r="N10" s="12">
        <v>3.5640000000000001</v>
      </c>
      <c r="O10" s="12">
        <v>3.2759999999999998</v>
      </c>
    </row>
    <row r="11" spans="1:15" ht="16" x14ac:dyDescent="0.2">
      <c r="A11" s="4" t="s">
        <v>34</v>
      </c>
      <c r="B11" s="4">
        <v>0.872</v>
      </c>
      <c r="C11" s="7">
        <v>2.6749999999999998</v>
      </c>
      <c r="D11" s="7">
        <v>1.335</v>
      </c>
      <c r="E11" s="7">
        <v>0.378</v>
      </c>
      <c r="F11" s="12">
        <v>0.432</v>
      </c>
      <c r="G11" s="12">
        <v>0.67700000000000005</v>
      </c>
      <c r="H11" s="12">
        <v>0.93</v>
      </c>
      <c r="I11" s="7">
        <v>1E-4</v>
      </c>
      <c r="J11" s="12">
        <v>0.67200000000000004</v>
      </c>
      <c r="K11" s="12">
        <v>1E-4</v>
      </c>
      <c r="L11" s="12">
        <v>0.254</v>
      </c>
      <c r="M11" s="7">
        <v>0.98599999999999999</v>
      </c>
      <c r="N11" s="12">
        <v>0.38600000000000001</v>
      </c>
      <c r="O11" s="12">
        <v>0.36399999999999999</v>
      </c>
    </row>
    <row r="12" spans="1:15" ht="16" x14ac:dyDescent="0.2">
      <c r="A12" s="4" t="s">
        <v>36</v>
      </c>
      <c r="B12" s="4">
        <v>0.872</v>
      </c>
      <c r="C12" s="7">
        <v>1.665</v>
      </c>
      <c r="D12" s="7">
        <v>1.335</v>
      </c>
      <c r="E12" s="7">
        <v>0.378</v>
      </c>
      <c r="F12" s="12">
        <v>0.432</v>
      </c>
      <c r="G12" s="12">
        <v>0.67700000000000005</v>
      </c>
      <c r="H12" s="12">
        <v>0.93</v>
      </c>
      <c r="I12" s="7">
        <v>1E-4</v>
      </c>
      <c r="J12" s="12">
        <v>0.67200000000000004</v>
      </c>
      <c r="K12" s="12">
        <v>1E-4</v>
      </c>
      <c r="L12" s="12">
        <v>0.254</v>
      </c>
      <c r="M12" s="7">
        <v>0.38200000000000001</v>
      </c>
      <c r="N12" s="12">
        <v>0.38600000000000001</v>
      </c>
      <c r="O12" s="12">
        <v>0.36399999999999999</v>
      </c>
    </row>
    <row r="13" spans="1:15" ht="16" x14ac:dyDescent="0.2">
      <c r="A13" s="4" t="s">
        <v>38</v>
      </c>
      <c r="B13" s="4">
        <v>0.45200000000000001</v>
      </c>
      <c r="C13" s="7">
        <v>0.95599999999999996</v>
      </c>
      <c r="D13" s="7">
        <v>0.71</v>
      </c>
      <c r="E13" s="7">
        <v>8.1000000000000003E-2</v>
      </c>
      <c r="F13" s="12">
        <v>0.13500000000000001</v>
      </c>
      <c r="G13" s="12">
        <v>0.28199999999999997</v>
      </c>
      <c r="H13" s="12">
        <v>0.45</v>
      </c>
      <c r="I13" s="8">
        <v>-0.159</v>
      </c>
      <c r="J13" s="12">
        <v>0.26900000000000002</v>
      </c>
      <c r="K13" s="13" t="s">
        <v>54</v>
      </c>
      <c r="L13" s="12">
        <v>1E-4</v>
      </c>
      <c r="M13" s="7">
        <v>9.5000000000000001E-2</v>
      </c>
      <c r="N13" s="12">
        <v>8.8999999999999996E-2</v>
      </c>
      <c r="O13" s="12">
        <v>8.4000000000000005E-2</v>
      </c>
    </row>
    <row r="14" spans="1:15" ht="16" x14ac:dyDescent="0.2">
      <c r="A14" s="4" t="s">
        <v>40</v>
      </c>
      <c r="B14" s="10">
        <v>-0.41899999999999998</v>
      </c>
      <c r="C14" s="8">
        <v>-0.85299999999999998</v>
      </c>
      <c r="D14" s="8">
        <v>-0.68899999999999995</v>
      </c>
      <c r="E14" s="8">
        <v>-0.36099999999999999</v>
      </c>
      <c r="F14" s="13">
        <v>-0.36099999999999999</v>
      </c>
      <c r="G14" s="13">
        <v>-0.45900000000000002</v>
      </c>
      <c r="H14" s="13">
        <v>-0.52500000000000002</v>
      </c>
      <c r="I14" s="8">
        <v>-0.16400000000000001</v>
      </c>
      <c r="J14" s="13">
        <v>-0.39400000000000002</v>
      </c>
      <c r="K14" s="13" t="s">
        <v>55</v>
      </c>
      <c r="L14" s="13">
        <v>-0.23</v>
      </c>
      <c r="M14" s="8">
        <v>-0.29499999999999998</v>
      </c>
      <c r="N14" s="13">
        <v>-0.32800000000000001</v>
      </c>
      <c r="O14" s="13">
        <v>-0.32800000000000001</v>
      </c>
    </row>
    <row r="15" spans="1:15" ht="16" x14ac:dyDescent="0.2">
      <c r="A15" s="4" t="s">
        <v>56</v>
      </c>
      <c r="B15" s="4">
        <v>0.25800000000000001</v>
      </c>
      <c r="C15" s="7">
        <v>0.51900000000000002</v>
      </c>
      <c r="D15" s="7">
        <v>0.39800000000000002</v>
      </c>
      <c r="E15" s="7">
        <v>8.1000000000000003E-2</v>
      </c>
      <c r="F15" s="12">
        <v>0.108</v>
      </c>
      <c r="G15" s="12">
        <v>0.19700000000000001</v>
      </c>
      <c r="H15" s="12">
        <v>0.27</v>
      </c>
      <c r="I15" s="8">
        <v>-3.2000000000000001E-2</v>
      </c>
      <c r="J15" s="12">
        <v>0.20200000000000001</v>
      </c>
      <c r="K15" s="13" t="s">
        <v>57</v>
      </c>
      <c r="L15" s="12">
        <v>3.5999999999999997E-2</v>
      </c>
      <c r="M15" s="7">
        <v>9.5000000000000001E-2</v>
      </c>
      <c r="N15" s="12">
        <v>8.8999999999999996E-2</v>
      </c>
      <c r="O15" s="12">
        <v>8.4000000000000005E-2</v>
      </c>
    </row>
    <row r="16" spans="1:15" ht="16" x14ac:dyDescent="0.2">
      <c r="A16" s="4" t="s">
        <v>46</v>
      </c>
      <c r="B16" s="4">
        <v>0.25800000000000001</v>
      </c>
      <c r="C16" s="7">
        <v>0.51900000000000002</v>
      </c>
      <c r="D16" s="7">
        <v>0.39800000000000002</v>
      </c>
      <c r="E16" s="7">
        <v>8.1000000000000003E-2</v>
      </c>
      <c r="F16" s="12">
        <v>0.108</v>
      </c>
      <c r="G16" s="12">
        <v>0.19700000000000001</v>
      </c>
      <c r="H16" s="12">
        <v>0.27</v>
      </c>
      <c r="I16" s="8">
        <v>-3.2000000000000001E-2</v>
      </c>
      <c r="J16" s="12">
        <v>0.20200000000000001</v>
      </c>
      <c r="K16" s="13" t="s">
        <v>57</v>
      </c>
      <c r="L16" s="12">
        <v>3.5999999999999997E-2</v>
      </c>
      <c r="M16" s="7">
        <v>9.5000000000000001E-2</v>
      </c>
      <c r="N16" s="12">
        <v>8.8999999999999996E-2</v>
      </c>
      <c r="O16" s="12">
        <v>8.4000000000000005E-2</v>
      </c>
    </row>
    <row r="17" spans="1:15" ht="16" x14ac:dyDescent="0.2">
      <c r="A17" s="4" t="s">
        <v>58</v>
      </c>
      <c r="B17" s="4">
        <v>0.19400000000000001</v>
      </c>
      <c r="C17" s="7">
        <v>0.437</v>
      </c>
      <c r="D17" s="7">
        <v>0.312</v>
      </c>
      <c r="E17" s="7">
        <v>1E-4</v>
      </c>
      <c r="F17" s="12">
        <v>2.7E-2</v>
      </c>
      <c r="G17" s="12">
        <v>0.113</v>
      </c>
      <c r="H17" s="12">
        <v>0.18</v>
      </c>
      <c r="I17" s="8">
        <v>-0.127</v>
      </c>
      <c r="J17" s="12">
        <v>0.10100000000000001</v>
      </c>
      <c r="K17" s="13" t="s">
        <v>59</v>
      </c>
      <c r="L17" s="13" t="s">
        <v>60</v>
      </c>
      <c r="M17" s="7">
        <v>1E-4</v>
      </c>
      <c r="N17" s="12">
        <v>1E-4</v>
      </c>
      <c r="O17" s="12">
        <v>1E-4</v>
      </c>
    </row>
    <row r="18" spans="1:15" ht="16" x14ac:dyDescent="0.2">
      <c r="A18" s="4" t="s">
        <v>61</v>
      </c>
      <c r="B18" s="12">
        <v>2.6890000000000001</v>
      </c>
      <c r="C18" s="7">
        <v>1.829</v>
      </c>
      <c r="D18" s="7">
        <v>2.1579999999999999</v>
      </c>
      <c r="E18" s="7">
        <v>2.214</v>
      </c>
      <c r="F18" s="12">
        <v>2.16</v>
      </c>
      <c r="G18" s="12">
        <v>2.3410000000000002</v>
      </c>
      <c r="H18" s="12">
        <v>2.61</v>
      </c>
      <c r="I18" s="7">
        <v>3.2749999999999999</v>
      </c>
      <c r="J18" s="12">
        <v>2.9569999999999999</v>
      </c>
      <c r="K18" s="12">
        <v>3.1539999999999999</v>
      </c>
      <c r="L18" s="12">
        <v>4.0289999999999999</v>
      </c>
      <c r="M18" s="7">
        <v>3.1480000000000001</v>
      </c>
      <c r="N18" s="12">
        <v>2.7320000000000002</v>
      </c>
      <c r="O18" s="12">
        <v>2.4079999999999999</v>
      </c>
    </row>
    <row r="19" spans="1:15" ht="16" x14ac:dyDescent="0.2">
      <c r="A19" s="4" t="s">
        <v>62</v>
      </c>
      <c r="B19" s="12">
        <v>2.6890000000000001</v>
      </c>
      <c r="C19" s="7">
        <v>1.829</v>
      </c>
      <c r="D19" s="7">
        <v>2.1579999999999999</v>
      </c>
      <c r="E19" s="7">
        <v>2.214</v>
      </c>
      <c r="F19" s="12">
        <v>2.16</v>
      </c>
      <c r="G19" s="12">
        <v>2.3410000000000002</v>
      </c>
      <c r="H19" s="12">
        <v>2.61</v>
      </c>
      <c r="I19" s="7">
        <v>3.2749999999999999</v>
      </c>
      <c r="J19" s="12">
        <v>2.9569999999999999</v>
      </c>
      <c r="K19" s="12">
        <v>3.1539999999999999</v>
      </c>
      <c r="L19" s="12">
        <v>4.0289999999999999</v>
      </c>
      <c r="M19" s="7">
        <v>3.1480000000000001</v>
      </c>
      <c r="N19" s="12">
        <v>2.7320000000000002</v>
      </c>
      <c r="O19" s="12">
        <v>2.4079999999999999</v>
      </c>
    </row>
    <row r="20" spans="1:15" ht="16" x14ac:dyDescent="0.2">
      <c r="A20" s="4" t="s">
        <v>63</v>
      </c>
      <c r="B20" s="12">
        <v>2.1539999999999999</v>
      </c>
      <c r="C20" s="7">
        <v>1.119</v>
      </c>
      <c r="D20" s="7">
        <v>1.448</v>
      </c>
      <c r="E20" s="7">
        <v>1.4039999999999999</v>
      </c>
      <c r="F20" s="12">
        <v>1.9710000000000001</v>
      </c>
      <c r="G20" s="12">
        <v>1.833</v>
      </c>
      <c r="H20" s="12">
        <v>2.61</v>
      </c>
      <c r="I20" s="7">
        <v>2.4169999999999998</v>
      </c>
      <c r="J20" s="12">
        <v>2.4529999999999998</v>
      </c>
      <c r="K20" s="12">
        <v>2.7160000000000002</v>
      </c>
      <c r="L20" s="12">
        <v>3.4119999999999999</v>
      </c>
      <c r="M20" s="7">
        <v>2.512</v>
      </c>
      <c r="N20" s="12">
        <v>2.7320000000000002</v>
      </c>
      <c r="O20" s="12">
        <v>2.3239999999999998</v>
      </c>
    </row>
    <row r="21" spans="1:15" ht="16" x14ac:dyDescent="0.2">
      <c r="A21" s="4" t="s">
        <v>64</v>
      </c>
      <c r="B21" s="12">
        <v>1.9610000000000001</v>
      </c>
      <c r="C21" s="7">
        <v>0.90100000000000002</v>
      </c>
      <c r="D21" s="7">
        <v>1.2210000000000001</v>
      </c>
      <c r="E21" s="7">
        <v>1.161</v>
      </c>
      <c r="F21" s="12">
        <v>1.728</v>
      </c>
      <c r="G21" s="12">
        <v>1.607</v>
      </c>
      <c r="H21" s="12">
        <v>2.37</v>
      </c>
      <c r="I21" s="7">
        <v>2.1619999999999999</v>
      </c>
      <c r="J21" s="12">
        <v>2.1840000000000002</v>
      </c>
      <c r="K21" s="12">
        <v>2.4820000000000002</v>
      </c>
      <c r="L21" s="12">
        <v>3.1579999999999999</v>
      </c>
      <c r="M21" s="7">
        <v>2.29</v>
      </c>
      <c r="N21" s="12">
        <v>2.4950000000000001</v>
      </c>
      <c r="O21" s="12">
        <v>2.1</v>
      </c>
    </row>
    <row r="22" spans="1:15" ht="16" x14ac:dyDescent="0.2">
      <c r="A22" s="4" t="s">
        <v>65</v>
      </c>
      <c r="B22" s="12">
        <v>2.613</v>
      </c>
      <c r="C22" s="7">
        <v>1.583</v>
      </c>
      <c r="D22" s="7">
        <v>1.931</v>
      </c>
      <c r="E22" s="7">
        <v>1.9710000000000001</v>
      </c>
      <c r="F22" s="12">
        <v>1.944</v>
      </c>
      <c r="G22" s="12">
        <v>2.0870000000000002</v>
      </c>
      <c r="H22" s="12">
        <v>2.37</v>
      </c>
      <c r="I22" s="7">
        <v>3.0209999999999999</v>
      </c>
      <c r="J22" s="12">
        <v>2.6880000000000002</v>
      </c>
      <c r="K22" s="12">
        <v>2.9489999999999998</v>
      </c>
      <c r="L22" s="12">
        <v>3.8119999999999998</v>
      </c>
      <c r="M22" s="7">
        <v>2.9260000000000002</v>
      </c>
      <c r="N22" s="12">
        <v>2.4950000000000001</v>
      </c>
      <c r="O22" s="12">
        <v>2.1560000000000001</v>
      </c>
    </row>
    <row r="23" spans="1:15" ht="16" x14ac:dyDescent="0.2">
      <c r="A23" s="4" t="s">
        <v>66</v>
      </c>
      <c r="B23" s="12">
        <v>2.496</v>
      </c>
      <c r="C23" s="7">
        <v>1.583</v>
      </c>
      <c r="D23" s="7">
        <v>1.931</v>
      </c>
      <c r="E23" s="7">
        <v>1.9710000000000001</v>
      </c>
      <c r="F23" s="12">
        <v>1.944</v>
      </c>
      <c r="G23" s="12">
        <v>2.0870000000000002</v>
      </c>
      <c r="H23" s="12">
        <v>2.37</v>
      </c>
      <c r="I23" s="7">
        <v>3.0209999999999999</v>
      </c>
      <c r="J23" s="12">
        <v>2.6880000000000002</v>
      </c>
      <c r="K23" s="12">
        <v>2.9489999999999998</v>
      </c>
      <c r="L23" s="12">
        <v>3.8119999999999998</v>
      </c>
      <c r="M23" s="7">
        <v>2.9260000000000002</v>
      </c>
      <c r="N23" s="12">
        <v>2.4950000000000001</v>
      </c>
      <c r="O23" s="12">
        <v>2.1560000000000001</v>
      </c>
    </row>
    <row r="24" spans="1:15" ht="16" x14ac:dyDescent="0.2">
      <c r="A24" s="4" t="s">
        <v>67</v>
      </c>
      <c r="B24" s="12">
        <v>2.694</v>
      </c>
      <c r="C24" s="7">
        <v>2.2109999999999999</v>
      </c>
      <c r="D24" s="7">
        <v>2.556</v>
      </c>
      <c r="E24" s="7">
        <v>2.5649999999999999</v>
      </c>
      <c r="F24" s="12">
        <v>2.133</v>
      </c>
      <c r="G24" s="12">
        <v>2.5939999999999999</v>
      </c>
      <c r="H24" s="12">
        <v>2.37</v>
      </c>
      <c r="I24" s="7">
        <v>3.657</v>
      </c>
      <c r="J24" s="12">
        <v>3.1579999999999999</v>
      </c>
      <c r="K24" s="12">
        <v>3.4159999999999999</v>
      </c>
      <c r="L24" s="12">
        <v>4.4290000000000003</v>
      </c>
      <c r="M24" s="7">
        <v>3.53</v>
      </c>
      <c r="N24" s="12">
        <v>2.4950000000000001</v>
      </c>
      <c r="O24" s="12">
        <v>2.2120000000000002</v>
      </c>
    </row>
    <row r="25" spans="1:15" ht="16" x14ac:dyDescent="0.2">
      <c r="A25" s="4" t="s">
        <v>68</v>
      </c>
      <c r="B25" s="4">
        <v>0.36399999999999999</v>
      </c>
      <c r="C25" s="7">
        <v>1E-4</v>
      </c>
      <c r="D25" s="7">
        <v>1E-4</v>
      </c>
      <c r="E25" s="7">
        <v>2.7E-2</v>
      </c>
      <c r="F25" s="12">
        <v>0.432</v>
      </c>
      <c r="G25" s="12">
        <v>0.14099999999999999</v>
      </c>
      <c r="H25" s="12">
        <v>0.63</v>
      </c>
      <c r="I25" s="7">
        <v>1E-4</v>
      </c>
      <c r="J25" s="12">
        <v>0.23499999999999999</v>
      </c>
      <c r="K25" s="12">
        <v>8.7999999999999995E-2</v>
      </c>
      <c r="L25" s="12">
        <v>1E-4</v>
      </c>
      <c r="M25" s="7">
        <v>1E-4</v>
      </c>
      <c r="N25" s="12">
        <v>0.624</v>
      </c>
      <c r="O25" s="12">
        <v>0.56000000000000005</v>
      </c>
    </row>
    <row r="26" spans="1:15" ht="16" x14ac:dyDescent="0.2">
      <c r="A26" s="4" t="s">
        <v>69</v>
      </c>
      <c r="B26" s="4">
        <v>4.6699999999999998E-2</v>
      </c>
      <c r="C26" s="7">
        <v>5.5E-2</v>
      </c>
      <c r="D26" s="7">
        <v>5.7000000000000002E-2</v>
      </c>
      <c r="E26" s="7">
        <v>0.216</v>
      </c>
      <c r="F26" s="12">
        <v>1E-4</v>
      </c>
      <c r="G26" s="12">
        <v>1E-4</v>
      </c>
      <c r="H26" s="12">
        <v>1E-4</v>
      </c>
      <c r="I26" s="7">
        <v>0.223</v>
      </c>
      <c r="J26" s="12">
        <v>1E-4</v>
      </c>
      <c r="K26" s="12">
        <v>1E-4</v>
      </c>
      <c r="L26" s="12">
        <v>1E-4</v>
      </c>
      <c r="M26" s="7">
        <v>1E-4</v>
      </c>
      <c r="N26" s="12">
        <v>1E-4</v>
      </c>
      <c r="O26" s="12">
        <v>1E-4</v>
      </c>
    </row>
    <row r="27" spans="1:15" ht="16" x14ac:dyDescent="0.2">
      <c r="A27" s="4" t="s">
        <v>70</v>
      </c>
      <c r="B27" s="4">
        <v>0.53400000000000003</v>
      </c>
      <c r="C27" s="7">
        <v>0.68300000000000005</v>
      </c>
      <c r="D27" s="7">
        <v>0.71</v>
      </c>
      <c r="E27" s="7">
        <v>0.81</v>
      </c>
      <c r="F27" s="12">
        <v>0.189</v>
      </c>
      <c r="G27" s="12">
        <v>0.50800000000000001</v>
      </c>
      <c r="H27" s="12">
        <v>1E-4</v>
      </c>
      <c r="I27" s="7">
        <v>0.85899999999999999</v>
      </c>
      <c r="J27" s="12">
        <v>0.504</v>
      </c>
      <c r="K27" s="12">
        <v>0.46700000000000003</v>
      </c>
      <c r="L27" s="12">
        <v>0.61699999999999999</v>
      </c>
      <c r="M27" s="7">
        <v>0.63600000000000001</v>
      </c>
      <c r="N27" s="12">
        <v>1E-4</v>
      </c>
      <c r="O27" s="12">
        <v>5.6000000000000001E-2</v>
      </c>
    </row>
    <row r="28" spans="1:15" ht="16" x14ac:dyDescent="0.2">
      <c r="A28" s="4" t="s">
        <v>71</v>
      </c>
      <c r="B28" s="4">
        <v>0.53400000000000003</v>
      </c>
      <c r="C28" s="7">
        <v>0.68300000000000005</v>
      </c>
      <c r="D28" s="7">
        <v>0.71</v>
      </c>
      <c r="E28" s="7">
        <v>0.81</v>
      </c>
      <c r="F28" s="12">
        <v>0.189</v>
      </c>
      <c r="G28" s="12">
        <v>0.50800000000000001</v>
      </c>
      <c r="H28" s="12">
        <v>1E-4</v>
      </c>
      <c r="I28" s="7">
        <v>0.85899999999999999</v>
      </c>
      <c r="J28" s="12">
        <v>0.504</v>
      </c>
      <c r="K28" s="12">
        <v>0.46700000000000003</v>
      </c>
      <c r="L28" s="12">
        <v>0.61699999999999999</v>
      </c>
      <c r="M28" s="7">
        <v>0.63600000000000001</v>
      </c>
      <c r="N28" s="12">
        <v>1E-4</v>
      </c>
      <c r="O28" s="12">
        <v>5.6000000000000001E-2</v>
      </c>
    </row>
    <row r="29" spans="1:15" ht="16" x14ac:dyDescent="0.2">
      <c r="A29" s="5" t="s">
        <v>72</v>
      </c>
      <c r="B29" s="9">
        <v>8.9049999999999994</v>
      </c>
      <c r="C29" s="9">
        <v>7.0709999999999997</v>
      </c>
      <c r="D29" s="9">
        <v>7.7530000000000001</v>
      </c>
      <c r="E29" s="9">
        <v>6.9390000000000001</v>
      </c>
      <c r="F29" s="14">
        <v>6.8849999999999998</v>
      </c>
      <c r="G29" s="14">
        <v>7.6139999999999999</v>
      </c>
      <c r="H29" s="14">
        <v>8.6999999999999993</v>
      </c>
      <c r="I29" s="9">
        <v>9.7629999999999999</v>
      </c>
      <c r="J29" s="14">
        <v>9.4749999999999996</v>
      </c>
      <c r="K29" s="14">
        <v>9.4610000000000003</v>
      </c>
      <c r="L29" s="14">
        <v>12.378</v>
      </c>
      <c r="M29" s="9">
        <v>9.7629999999999999</v>
      </c>
      <c r="N29" s="14">
        <v>8.5239999999999991</v>
      </c>
      <c r="O29" s="14">
        <v>7.5039999999999996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7658-4ECC-4947-A038-1056A9BD9253}">
  <dimension ref="A1:N31"/>
  <sheetViews>
    <sheetView topLeftCell="C1" workbookViewId="0">
      <selection activeCell="G4" sqref="G4"/>
    </sheetView>
  </sheetViews>
  <sheetFormatPr baseColWidth="10" defaultColWidth="8.83203125" defaultRowHeight="15" x14ac:dyDescent="0.2"/>
  <cols>
    <col min="1" max="1" width="14" customWidth="1"/>
    <col min="2" max="4" width="18.6640625" customWidth="1"/>
    <col min="5" max="7" width="16.1640625" customWidth="1"/>
    <col min="8" max="8" width="17" customWidth="1"/>
    <col min="9" max="10" width="18.33203125" customWidth="1"/>
    <col min="11" max="11" width="16.5" customWidth="1"/>
    <col min="12" max="12" width="20.33203125" customWidth="1"/>
    <col min="13" max="13" width="18.83203125" customWidth="1"/>
    <col min="14" max="14" width="22.1640625" customWidth="1"/>
  </cols>
  <sheetData>
    <row r="1" spans="1:14" x14ac:dyDescent="0.2">
      <c r="A1" s="1" t="s">
        <v>48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 spans="1:14" ht="13.5" customHeight="1" x14ac:dyDescent="0.2">
      <c r="A2" s="1" t="s">
        <v>50</v>
      </c>
      <c r="B2" s="15">
        <f>(LN(fluxes!B2)-LN(fluxes!C2))/(proteomics!$E$5)</f>
        <v>2.874016016483673E-3</v>
      </c>
      <c r="C2" s="16">
        <f>(LN(fluxes!B2)-LN(fluxes!D2))/(proteomics!$E$7)</f>
        <v>-4.4447087477977112E-3</v>
      </c>
      <c r="D2" s="15">
        <f>(LN(fluxes!B2)-LN(fluxes!E2))/(proteomics!$E$8)</f>
        <v>2.5431193452899116E-3</v>
      </c>
      <c r="E2" s="16">
        <f>(LN(fluxes!B2)-LN(fluxes!F2))/(proteomics!$E$11)</f>
        <v>5.1465642308371621E-3</v>
      </c>
      <c r="F2" s="16">
        <f>(LN(fluxes!B2)-LN(fluxes!G2))/(proteomics!$E$13)</f>
        <v>-2.2879180712162762E-2</v>
      </c>
      <c r="G2" s="16">
        <f>(LN(fluxes!B2)-LN(fluxes!H2))/(proteomics!$E$15)</f>
        <v>-2.0152142281070793E-2</v>
      </c>
      <c r="H2" s="16">
        <f>(LN(fluxes!B2)-LN(fluxes!I2))/(proteomics!$E$16)</f>
        <v>-2.1779065397132716E-2</v>
      </c>
      <c r="I2" s="16">
        <f>(LN(fluxes!B2)-LN(fluxes!J2))/(proteomics!$E$17)</f>
        <v>-9.0875016828493027E-2</v>
      </c>
      <c r="J2" s="16">
        <f>(LN(fluxes!B2)-LN(fluxes!K2))/(proteomics!$E$18)</f>
        <v>-7.2924424322398686E-3</v>
      </c>
      <c r="K2" s="15">
        <f>(LN(fluxes!B2)-LN(fluxes!L2))/(proteomics!$E$19)</f>
        <v>-9.4879977718117736E-2</v>
      </c>
      <c r="L2" s="16">
        <f>(LN(fluxes!B2)-LN(fluxes!M2))/(proteomics!$E$20)</f>
        <v>-0.20706132301383004</v>
      </c>
      <c r="M2" s="16">
        <f>(LN(fluxes!B2)-LN(fluxes!N2))/(proteomics!$E$23)</f>
        <v>-5.1752674129534409E-2</v>
      </c>
      <c r="N2" s="16">
        <f>(LN(fluxes!B2)-LN(fluxes!O2))/(proteomics!$E$24)</f>
        <v>-1.5644306374027261E-2</v>
      </c>
    </row>
    <row r="3" spans="1:14" x14ac:dyDescent="0.2">
      <c r="A3" s="1" t="s">
        <v>13</v>
      </c>
      <c r="B3" s="15">
        <f>(LN(fluxes!B3)-LN(fluxes!C3))/(proteomics!$E$5)</f>
        <v>3.5169113541194275</v>
      </c>
      <c r="C3" s="16">
        <f>(LN(fluxes!B3)-LN(fluxes!D3))/(proteomics!$E$7)</f>
        <v>3.1261054086975264E-2</v>
      </c>
      <c r="D3" s="15">
        <f>(LN(fluxes!B3)-LN(fluxes!E3))/(proteomics!$E$8)</f>
        <v>-2.9240869676048799E-2</v>
      </c>
      <c r="E3" s="16">
        <f>(LN(fluxes!B3)-LN(fluxes!F3))/(proteomics!$E$11)</f>
        <v>-5.2751476357189242E-2</v>
      </c>
      <c r="F3" s="16">
        <f>(LN(fluxes!B3)-LN(fluxes!G3))/(proteomics!$E$13)</f>
        <v>-0.1165406248105036</v>
      </c>
      <c r="G3" s="16">
        <f>(LN(fluxes!B3)-LN(fluxes!H3))/(proteomics!$E$15)</f>
        <v>-2.3718704159883666E-2</v>
      </c>
      <c r="H3" s="16">
        <f>(LN(fluxes!B3)-LN(fluxes!I3))/(proteomics!$E$16)</f>
        <v>-8.0661720449018648E-2</v>
      </c>
      <c r="I3" s="16">
        <f>(LN(fluxes!B3)-LN(fluxes!J3))/(proteomics!$E$17)</f>
        <v>-0.16032347834576466</v>
      </c>
      <c r="J3" s="16">
        <f>(LN(fluxes!B3)-LN(fluxes!K3))/(proteomics!$E$18)</f>
        <v>-5.5405886014878253E-2</v>
      </c>
      <c r="K3" s="15">
        <f>(LN(fluxes!B3)-LN(fluxes!L3))/(proteomics!$E$19)</f>
        <v>-0.20372844541324342</v>
      </c>
      <c r="L3" s="16">
        <f>(LN(fluxes!B3)-LN(fluxes!M3))/(proteomics!$E$20)</f>
        <v>-0.20798294017550359</v>
      </c>
      <c r="M3" s="16">
        <f>(LN(fluxes!B3)-LN(fluxes!N3))/(proteomics!$E$23)</f>
        <v>-0.22149086771803586</v>
      </c>
      <c r="N3" s="16">
        <f>(LN(fluxes!B3)-LN(fluxes!O3))/(proteomics!$E$24)</f>
        <v>-0.23134723338788185</v>
      </c>
    </row>
    <row r="4" spans="1:14" x14ac:dyDescent="0.2">
      <c r="A4" s="1" t="s">
        <v>16</v>
      </c>
      <c r="B4" s="15">
        <f>(LN(fluxes!B4)-LN(fluxes!C4))/(proteomics!$E$5)</f>
        <v>0.33618831325925952</v>
      </c>
      <c r="C4" s="16">
        <f>(LN(fluxes!B4)-LN(fluxes!D4))/(proteomics!$E$7)</f>
        <v>1.152606532258952E-2</v>
      </c>
      <c r="D4" s="15">
        <f>(LN(fluxes!B4)-LN(fluxes!E4))/(proteomics!$E$8)</f>
        <v>1.3551740413525718E-3</v>
      </c>
      <c r="E4" s="16">
        <f>(LN(fluxes!B4)-LN(fluxes!F4))/(proteomics!$E$11)</f>
        <v>5.8614949242873273E-3</v>
      </c>
      <c r="F4" s="16">
        <f>(LN(fluxes!B4)-LN(fluxes!G4))/(proteomics!$E$13)</f>
        <v>1.5813195728415763E-3</v>
      </c>
      <c r="G4" s="16">
        <f>(LN(fluxes!B4)-LN(fluxes!H4))/(proteomics!$E$15)</f>
        <v>-8.4094668971342532E-3</v>
      </c>
      <c r="H4" s="16">
        <f>(LN(fluxes!B4)-LN(fluxes!I4))/(proteomics!$E$16)</f>
        <v>-3.3149270734941526E-2</v>
      </c>
      <c r="I4" s="16">
        <f>(LN(fluxes!B4)-LN(fluxes!J4))/(proteomics!$E$17)</f>
        <v>-8.9731628373290698E-2</v>
      </c>
      <c r="J4" s="16">
        <f>(LN(fluxes!B4)-LN(fluxes!K4))/(proteomics!$E$18)</f>
        <v>-1.661473828115919E-2</v>
      </c>
      <c r="K4" s="15">
        <f>(LN(fluxes!B4)-LN(fluxes!L4))/(proteomics!$E$19)</f>
        <v>-0.11712143198180282</v>
      </c>
      <c r="L4" s="16">
        <f>(LN(fluxes!B4)-LN(fluxes!M4))/(proteomics!$E$20)</f>
        <v>0.11234289029466861</v>
      </c>
      <c r="M4" s="16">
        <f>(LN(fluxes!B4)-LN(fluxes!N4))/(proteomics!$E$23)</f>
        <v>-6.5664401880467765E-2</v>
      </c>
      <c r="N4" s="16">
        <f>(LN(fluxes!B4)-LN(fluxes!O4))/(proteomics!$E$24)</f>
        <v>-2.370633027604966E-2</v>
      </c>
    </row>
    <row r="5" spans="1:14" x14ac:dyDescent="0.2">
      <c r="A5" s="1" t="s">
        <v>21</v>
      </c>
      <c r="B5" s="15">
        <f>(LN(fluxes!B5)-LN(fluxes!C5))/(proteomics!$E$5)</f>
        <v>0.32234350835671771</v>
      </c>
      <c r="C5" s="16">
        <f>(LN(fluxes!B5)-LN(fluxes!D5))/(proteomics!$E$7)</f>
        <v>6.0662798152009943E-3</v>
      </c>
      <c r="D5" s="15">
        <f>(LN(fluxes!B5)-LN(fluxes!E5))/(proteomics!$E$8)</f>
        <v>-3.7993635660840516E-3</v>
      </c>
      <c r="E5" s="16">
        <f>(LN(fluxes!B5)-LN(fluxes!F5))/(proteomics!$E$11)</f>
        <v>-4.5698514952469561E-3</v>
      </c>
      <c r="F5" s="16">
        <f>(LN(fluxes!B5)-LN(fluxes!G5))/(proteomics!$E$13)</f>
        <v>-3.4660061476778553E-2</v>
      </c>
      <c r="G5" s="16">
        <f>(LN(fluxes!B5)-LN(fluxes!H5))/(proteomics!$E$15)</f>
        <v>-1.7439778328237943E-2</v>
      </c>
      <c r="H5" s="16">
        <f>(LN(fluxes!B5)-LN(fluxes!I5))/(proteomics!$E$16)</f>
        <v>-3.8974659731982768E-2</v>
      </c>
      <c r="I5" s="16">
        <f>(LN(fluxes!B5)-LN(fluxes!J5))/(proteomics!$E$17)</f>
        <v>-0.10733391944169704</v>
      </c>
      <c r="J5" s="16">
        <f>(LN(fluxes!B5)-LN(fluxes!K5))/(proteomics!$E$18)</f>
        <v>-2.1373089966191191E-2</v>
      </c>
      <c r="K5" s="15">
        <f>(LN(fluxes!B5)-LN(fluxes!L5))/(proteomics!$E$19)</f>
        <v>-0.13036966125592811</v>
      </c>
      <c r="L5" s="16">
        <f>(LN(fluxes!B5)-LN(fluxes!M5))/(proteomics!$E$20)</f>
        <v>5.6958844615813624E-2</v>
      </c>
      <c r="M5" s="16">
        <f>(LN(fluxes!B5)-LN(fluxes!N5))/(proteomics!$E$23)</f>
        <v>-9.1912481442800176E-2</v>
      </c>
      <c r="N5" s="16">
        <f>(LN(fluxes!B5)-LN(fluxes!O5))/(proteomics!$E$24)</f>
        <v>-5.8687743357353307E-2</v>
      </c>
    </row>
    <row r="6" spans="1:14" x14ac:dyDescent="0.2">
      <c r="A6" s="1" t="s">
        <v>51</v>
      </c>
      <c r="B6" s="15">
        <f>(LN(fluxes!B6)-LN(fluxes!C6))/(proteomics!$E$5)</f>
        <v>0.32234350835671771</v>
      </c>
      <c r="C6" s="16">
        <f>(LN(fluxes!B6)-LN(fluxes!D6))/(proteomics!$E$7)</f>
        <v>6.0662798152009943E-3</v>
      </c>
      <c r="D6" s="15">
        <f>(LN(fluxes!B6)-LN(fluxes!E6))/(proteomics!$E$8)</f>
        <v>-3.7993635660840516E-3</v>
      </c>
      <c r="E6" s="16">
        <f>(LN(fluxes!B6)-LN(fluxes!F6))/(proteomics!$E$11)</f>
        <v>-4.5698514952469561E-3</v>
      </c>
      <c r="F6" s="16">
        <f>(LN(fluxes!B6)-LN(fluxes!G6))/(proteomics!$E$13)</f>
        <v>-3.4660061476778553E-2</v>
      </c>
      <c r="G6" s="16">
        <f>(LN(fluxes!B6)-LN(fluxes!H6))/(proteomics!$E$15)</f>
        <v>-1.7439778328237943E-2</v>
      </c>
      <c r="H6" s="16">
        <f>(LN(fluxes!B6)-LN(fluxes!I6))/(proteomics!$E$16)</f>
        <v>-3.8974659731982768E-2</v>
      </c>
      <c r="I6" s="16">
        <f>(LN(fluxes!B6)-LN(fluxes!J6))/(proteomics!$E$17)</f>
        <v>-0.10733391944169704</v>
      </c>
      <c r="J6" s="16">
        <f>(LN(fluxes!B6)-LN(fluxes!K6))/(proteomics!$E$18)</f>
        <v>-2.1373089966191191E-2</v>
      </c>
      <c r="K6" s="15">
        <f>(LN(fluxes!B6)-LN(fluxes!L6))/(proteomics!$E$19)</f>
        <v>-0.13036966125592811</v>
      </c>
      <c r="L6" s="16">
        <f>(LN(fluxes!B6)-LN(fluxes!M6))/(proteomics!$E$20)</f>
        <v>5.6958844615813624E-2</v>
      </c>
      <c r="M6" s="16">
        <f>(LN(fluxes!B6)-LN(fluxes!N6))/(proteomics!$E$23)</f>
        <v>-9.1912481442800176E-2</v>
      </c>
      <c r="N6" s="16">
        <f>(LN(fluxes!B6)-LN(fluxes!O6))/(proteomics!$E$24)</f>
        <v>-5.8687743357353307E-2</v>
      </c>
    </row>
    <row r="7" spans="1:14" x14ac:dyDescent="0.2">
      <c r="A7" s="1" t="s">
        <v>52</v>
      </c>
      <c r="B7" s="15">
        <f>(LN(fluxes!B7)-LN(fluxes!C7))/(proteomics!$E$5)</f>
        <v>0.13212654747622612</v>
      </c>
      <c r="C7" s="16">
        <f>(LN(fluxes!B7)-LN(fluxes!D7))/(proteomics!$E$7)</f>
        <v>3.2865294306412001E-3</v>
      </c>
      <c r="D7" s="15">
        <f>(LN(fluxes!B7)-LN(fluxes!E7))/(proteomics!$E$8)</f>
        <v>1.8986492856226669E-3</v>
      </c>
      <c r="E7" s="16">
        <f>(LN(fluxes!B7)-LN(fluxes!F7))/(proteomics!$E$11)</f>
        <v>5.4063441605315329E-3</v>
      </c>
      <c r="F7" s="16">
        <f>(LN(fluxes!B7)-LN(fluxes!G7))/(proteomics!$E$13)</f>
        <v>-1.1013620093366372E-2</v>
      </c>
      <c r="G7" s="16">
        <f>(LN(fluxes!B7)-LN(fluxes!H7))/(proteomics!$E$15)</f>
        <v>-1.7195585312514156E-2</v>
      </c>
      <c r="H7" s="16">
        <f>(LN(fluxes!B7)-LN(fluxes!I7))/(proteomics!$E$16)</f>
        <v>-2.9323507142732352E-2</v>
      </c>
      <c r="I7" s="16">
        <f>(LN(fluxes!B7)-LN(fluxes!J7))/(proteomics!$E$17)</f>
        <v>-9.3091488851723289E-2</v>
      </c>
      <c r="J7" s="16">
        <f>(LN(fluxes!B7)-LN(fluxes!K7))/(proteomics!$E$18)</f>
        <v>-1.4119487060601907E-2</v>
      </c>
      <c r="K7" s="15">
        <f>(LN(fluxes!B7)-LN(fluxes!L7))/(proteomics!$E$19)</f>
        <v>-0.11201016361131437</v>
      </c>
      <c r="L7" s="16">
        <f>(LN(fluxes!B7)-LN(fluxes!M7))/(proteomics!$E$20)</f>
        <v>-7.509018714357675E-2</v>
      </c>
      <c r="M7" s="16">
        <f>(LN(fluxes!B7)-LN(fluxes!N7))/(proteomics!$E$23)</f>
        <v>-6.2902906833344138E-2</v>
      </c>
      <c r="N7" s="16">
        <f>(LN(fluxes!B7)-LN(fluxes!O7))/(proteomics!$E$24)</f>
        <v>-2.5232673687615042E-2</v>
      </c>
    </row>
    <row r="8" spans="1:14" x14ac:dyDescent="0.2">
      <c r="A8" s="1" t="s">
        <v>24</v>
      </c>
      <c r="B8" s="15">
        <f>((fluxes!B8-fluxes!C8)/(proteomics!C5-proteomics!D5))*(proteomics!D5/fluxes!C8)</f>
        <v>3.2779267684452558E-2</v>
      </c>
      <c r="C8" s="15">
        <f>((fluxes!B8-fluxes!D8)/(proteomics!C7-proteomics!D7))*(proteomics!D7/fluxes!D8)</f>
        <v>2.4389276074023458E-5</v>
      </c>
      <c r="D8" s="15">
        <f>((fluxes!B8-fluxes!E8)/(proteomics!C8-proteomics!D8))*(proteomics!D8/fluxes!E8)</f>
        <v>1.2258981473266756E-5</v>
      </c>
      <c r="E8" s="15">
        <f>((fluxes!B8-fluxes!F8)/(proteomics!C11-proteomics!D11))*(proteomics!D11/fluxes!F8)</f>
        <v>7.1826596693659367E-4</v>
      </c>
      <c r="F8" s="15">
        <f>((fluxes!B8-fluxes!G8)/(proteomics!C13-proteomics!D13))*(proteomics!D13/fluxes!G8)</f>
        <v>-4.7668875712125885E-3</v>
      </c>
      <c r="G8" s="15">
        <f>((fluxes!B8-fluxes!H8)/(proteomics!C15-proteomics!D15))*(proteomics!D15/fluxes!H8)</f>
        <v>-9.6051146801028639E-4</v>
      </c>
      <c r="H8" s="15">
        <f>((fluxes!B8-fluxes!I8)/(proteomics!C16-proteomics!D16))*(proteomics!D16/fluxes!I8)</f>
        <v>-2.3336316134444198E-4</v>
      </c>
      <c r="I8" s="15">
        <f>((fluxes!B8-fluxes!J8)/(proteomics!C17-proteomics!D17))*(proteomics!D17/fluxes!J8)</f>
        <v>-2.2338771519874966E-2</v>
      </c>
      <c r="J8" s="15">
        <f>((fluxes!B8-fluxes!K8)/(proteomics!C18-proteomics!D18))*(proteomics!D18/fluxes!K8)</f>
        <v>-3.4034909389815553E-5</v>
      </c>
      <c r="K8" s="15">
        <f>((fluxes!B8-fluxes!L8)/(proteomics!C19-proteomics!D19))*(proteomics!D19/fluxes!L8)</f>
        <v>-1.6448189425210279E-2</v>
      </c>
      <c r="L8" s="15">
        <f>((fluxes!B8-fluxes!M8)/(proteomics!C20-proteomics!D20))*(proteomics!D20/fluxes!M8)</f>
        <v>-4.9443459637193342E-2</v>
      </c>
      <c r="M8" s="15">
        <f>((fluxes!B8-fluxes!N8)/(proteomics!C23-proteomics!D23))*(proteomics!D23/fluxes!N8)</f>
        <v>-2.6092846539929236E-2</v>
      </c>
      <c r="N8" s="15">
        <f>((fluxes!B8-fluxes!O8)/(proteomics!C24-proteomics!D24))*(proteomics!D24/fluxes!O8)</f>
        <v>-1.0087053775818538E-2</v>
      </c>
    </row>
    <row r="9" spans="1:14" x14ac:dyDescent="0.2">
      <c r="A9" s="1" t="s">
        <v>27</v>
      </c>
      <c r="B9" s="15">
        <f>(LN(fluxes!B9)-LN(fluxes!C9))/(proteomics!$E$5)</f>
        <v>0.87100158594349542</v>
      </c>
      <c r="C9" s="16">
        <f>(LN(fluxes!B9)-LN(fluxes!D9))/(proteomics!$E$7)</f>
        <v>1.6089939025841646E-2</v>
      </c>
      <c r="D9" s="15">
        <f>(LN(fluxes!B9)-LN(fluxes!E9))/(proteomics!$E$8)</f>
        <v>1.806801496129583E-3</v>
      </c>
      <c r="E9" s="16">
        <f>(LN(fluxes!B9)-LN(fluxes!F9))/(proteomics!$E$11)</f>
        <v>9.2546837568078355E-2</v>
      </c>
      <c r="F9" s="16">
        <f>(LN(fluxes!B9)-LN(fluxes!G9))/(proteomics!$E$13)</f>
        <v>7.6328935300534834E-2</v>
      </c>
      <c r="G9" s="16">
        <f>(LN(fluxes!B9)-LN(fluxes!H9))/(proteomics!$E$15)</f>
        <v>9.2463394469951402E-2</v>
      </c>
      <c r="H9" s="16">
        <f>(LN(fluxes!B9)-LN(fluxes!I9))/(proteomics!$E$16)</f>
        <v>-4.9169084043040469E-2</v>
      </c>
      <c r="I9" s="16">
        <f>(LN(fluxes!B9)-LN(fluxes!J9))/(proteomics!$E$17)</f>
        <v>-4.2859609220437835E-2</v>
      </c>
      <c r="J9" s="16">
        <f>(LN(fluxes!B9)-LN(fluxes!K9))/(proteomics!$E$18)</f>
        <v>-2.7839776464372527E-2</v>
      </c>
      <c r="K9" s="15">
        <f>(LN(fluxes!B9)-LN(fluxes!L9))/(proteomics!$E$19)</f>
        <v>-0.16716678583119848</v>
      </c>
      <c r="L9" s="16">
        <f>(LN(fluxes!B9)-LN(fluxes!M9))/(proteomics!$E$20)</f>
        <v>0.12363568449829934</v>
      </c>
      <c r="M9" s="16">
        <f>(LN(fluxes!B9)-LN(fluxes!N9))/(proteomics!$E$23)</f>
        <v>0.18493294308557609</v>
      </c>
      <c r="N9" s="16">
        <f>(LN(fluxes!B9)-LN(fluxes!O9))/(proteomics!$E$24)</f>
        <v>0.32269803264575869</v>
      </c>
    </row>
    <row r="10" spans="1:14" x14ac:dyDescent="0.2">
      <c r="A10" s="1" t="s">
        <v>53</v>
      </c>
      <c r="B10" s="15">
        <f>(LN(fluxes!B10)-LN(fluxes!C10))/(proteomics!$E$5)</f>
        <v>5.5918446673323928E-2</v>
      </c>
      <c r="C10" s="16">
        <f>(LN(fluxes!B10)-LN(fluxes!D10))/(proteomics!$E$7)</f>
        <v>7.521996939257875E-3</v>
      </c>
      <c r="D10" s="15">
        <f>(LN(fluxes!B10)-LN(fluxes!E10))/(proteomics!$E$8)</f>
        <v>2.0701362909138288E-3</v>
      </c>
      <c r="E10" s="16">
        <f>(LN(fluxes!B10)-LN(fluxes!F10))/(proteomics!$E$11)</f>
        <v>5.4139057543975369E-2</v>
      </c>
      <c r="F10" s="16">
        <f>(LN(fluxes!B10)-LN(fluxes!G10))/(proteomics!$E$13)</f>
        <v>6.3740882591694095E-2</v>
      </c>
      <c r="G10" s="16">
        <f>(LN(fluxes!B10)-LN(fluxes!H10))/(proteomics!$E$15)</f>
        <v>3.0314582741908326E-2</v>
      </c>
      <c r="H10" s="16">
        <f>(LN(fluxes!B10)-LN(fluxes!I10))/(proteomics!$E$16)</f>
        <v>-3.6486516755479884E-2</v>
      </c>
      <c r="I10" s="16">
        <f>(LN(fluxes!B10)-LN(fluxes!J10))/(proteomics!$E$17)</f>
        <v>-5.5824421379884102E-2</v>
      </c>
      <c r="J10" s="16">
        <f>(LN(fluxes!B10)-LN(fluxes!K10))/(proteomics!$E$18)</f>
        <v>-1.3656637490171465E-2</v>
      </c>
      <c r="K10" s="15">
        <f>(LN(fluxes!B10)-LN(fluxes!L10))/(proteomics!$E$19)</f>
        <v>-0.12166683939412105</v>
      </c>
      <c r="L10" s="16">
        <f>(LN(fluxes!B10)-LN(fluxes!M10))/(proteomics!$E$20)</f>
        <v>-0.2420905913940265</v>
      </c>
      <c r="M10" s="16">
        <f>(LN(fluxes!B10)-LN(fluxes!N10))/(proteomics!$E$23)</f>
        <v>6.0115868867832843E-2</v>
      </c>
      <c r="N10" s="16">
        <f>(LN(fluxes!B10)-LN(fluxes!O10))/(proteomics!$E$24)</f>
        <v>0.15635147679805098</v>
      </c>
    </row>
    <row r="11" spans="1:14" x14ac:dyDescent="0.2">
      <c r="A11" s="1" t="s">
        <v>34</v>
      </c>
      <c r="B11" s="15">
        <f>(LN(fluxes!B11)-LN(fluxes!C11))/(proteomics!$E$5)</f>
        <v>-0.40137098976128005</v>
      </c>
      <c r="C11" s="16">
        <f>(LN(fluxes!B11)-LN(fluxes!D11))/(proteomics!$E$7)</f>
        <v>-6.0140450817333456E-2</v>
      </c>
      <c r="D11" s="15">
        <f>(LN(fluxes!B11)-LN(fluxes!E11))/(proteomics!$E$8)</f>
        <v>0.11143661866945224</v>
      </c>
      <c r="E11" s="16">
        <f>(LN(fluxes!B11)-LN(fluxes!F11))/(proteomics!$E$11)</f>
        <v>0.18949112638641158</v>
      </c>
      <c r="F11" s="16">
        <f>(LN(fluxes!B11)-LN(fluxes!G11))/(proteomics!$E$13)</f>
        <v>0.23725446559932567</v>
      </c>
      <c r="G11" s="16">
        <f>(LN(fluxes!B11)-LN(fluxes!H11))/(proteomics!$E$15)</f>
        <v>-1.5039809559251167E-2</v>
      </c>
      <c r="H11" s="16">
        <f>(LN(fluxes!B11)-LN(fluxes!I11))/(proteomics!$E$16)</f>
        <v>1.367036579583923</v>
      </c>
      <c r="I11" s="16">
        <f>(LN(fluxes!B11)-LN(fluxes!J11))/(proteomics!$E$17)</f>
        <v>0.11860830804390854</v>
      </c>
      <c r="J11" s="16">
        <f>(LN(fluxes!B11)-LN(fluxes!K11))/(proteomics!$E$18)</f>
        <v>1.1166362993556997</v>
      </c>
      <c r="K11" s="15">
        <f>(LN(fluxes!B11)-LN(fluxes!L11))/(proteomics!$E$19)</f>
        <v>0.42263705123569489</v>
      </c>
      <c r="L11" s="16">
        <f>(LN(fluxes!B11)-LN(fluxes!M11))/(proteomics!$E$20)</f>
        <v>-0.17599731947399713</v>
      </c>
      <c r="M11" s="16">
        <f>(LN(fluxes!B11)-LN(fluxes!N11))/(proteomics!$E$23)</f>
        <v>0.55324304102792632</v>
      </c>
      <c r="N11" s="16">
        <f>(LN(fluxes!B11)-LN(fluxes!O11))/(proteomics!$E$24)</f>
        <v>0.79041289568930673</v>
      </c>
    </row>
    <row r="12" spans="1:14" x14ac:dyDescent="0.2">
      <c r="A12" s="1" t="s">
        <v>36</v>
      </c>
      <c r="B12" s="15">
        <f>(LN(fluxes!B12)-LN(fluxes!C12))/(proteomics!$E$5)</f>
        <v>-0.231599256578855</v>
      </c>
      <c r="C12" s="16">
        <f>(LN(fluxes!B12)-LN(fluxes!D12))/(proteomics!$E$7)</f>
        <v>-6.0140450817333456E-2</v>
      </c>
      <c r="D12" s="15">
        <f>(LN(fluxes!B12)-LN(fluxes!E12))/(proteomics!$E$8)</f>
        <v>0.11143661866945224</v>
      </c>
      <c r="E12" s="16">
        <f>(LN(fluxes!B12)-LN(fluxes!F12))/(proteomics!$E$11)</f>
        <v>0.18949112638641158</v>
      </c>
      <c r="F12" s="16">
        <f>(LN(fluxes!B12)-LN(fluxes!G12))/(proteomics!$E$13)</f>
        <v>0.23725446559932567</v>
      </c>
      <c r="G12" s="16">
        <f>(LN(fluxes!B12)-LN(fluxes!H12))/(proteomics!$E$15)</f>
        <v>-1.5039809559251167E-2</v>
      </c>
      <c r="H12" s="16">
        <f>(LN(fluxes!B12)-LN(fluxes!I12))/(proteomics!$E$16)</f>
        <v>1.367036579583923</v>
      </c>
      <c r="I12" s="16">
        <f>(LN(fluxes!B12)-LN(fluxes!J12))/(proteomics!$E$17)</f>
        <v>0.11860830804390854</v>
      </c>
      <c r="J12" s="16">
        <f>(LN(fluxes!B12)-LN(fluxes!K12))/(proteomics!$E$18)</f>
        <v>1.1166362993556997</v>
      </c>
      <c r="K12" s="15">
        <f>(LN(fluxes!B12)-LN(fluxes!L12))/(proteomics!$E$19)</f>
        <v>0.42263705123569489</v>
      </c>
      <c r="L12" s="16">
        <f>(LN(fluxes!B12)-LN(fluxes!M12))/(proteomics!$E$20)</f>
        <v>1.1822766162592231</v>
      </c>
      <c r="M12" s="16">
        <f>(LN(fluxes!B12)-LN(fluxes!N12))/(proteomics!$E$23)</f>
        <v>0.55324304102792632</v>
      </c>
      <c r="N12" s="16">
        <f>(LN(fluxes!B12)-LN(fluxes!O12))/(proteomics!$E$24)</f>
        <v>0.79041289568930673</v>
      </c>
    </row>
    <row r="13" spans="1:14" x14ac:dyDescent="0.2">
      <c r="A13" s="1" t="s">
        <v>38</v>
      </c>
      <c r="B13" s="15">
        <f>(LN(fluxes!B13)-LN(fluxes!C13))/(proteomics!$E$5)</f>
        <v>-0.26822480322107328</v>
      </c>
      <c r="C13" s="16">
        <f>(LN(fluxes!B13)-LN(fluxes!D13))/(proteomics!$E$7)</f>
        <v>-6.3767491236386448E-2</v>
      </c>
      <c r="D13" s="15">
        <f>(LN(fluxes!B13)-LN(fluxes!E13))/(proteomics!$E$8)</f>
        <v>0.229198000592405</v>
      </c>
      <c r="E13" s="16">
        <f>(LN(fluxes!B13)-LN(fluxes!F13))/(proteomics!$E$11)</f>
        <v>0.32601689892964009</v>
      </c>
      <c r="F13" s="16">
        <f>(LN(fluxes!B13)-LN(fluxes!G13))/(proteomics!$E$13)</f>
        <v>0.44220752602287644</v>
      </c>
      <c r="G13" s="16">
        <f>(LN(fluxes!B13)-LN(fluxes!H13))/(proteomics!$E$15)</f>
        <v>1.0357221420745728E-3</v>
      </c>
      <c r="H13" s="15">
        <f>((fluxes!B13-fluxes!I13)/(proteomics!$C$16-proteomics!$D$16))*(proteomics!$D$16/fluxes!I13)</f>
        <v>-5.043001700259165E-3</v>
      </c>
      <c r="I13" s="16">
        <f>(LN(fluxes!B13)-LN(fluxes!J13))/(proteomics!$E$17)</f>
        <v>0.23626450916938052</v>
      </c>
      <c r="J13" s="15">
        <f>((fluxes!B13-fluxes!K13)/(proteomics!$C$18-proteomics!$D$18))*(proteomics!$D$18/fluxes!K13)</f>
        <v>-1.2121605241073999E-3</v>
      </c>
      <c r="K13" s="15">
        <f>(LN(fluxes!B13)-LN(fluxes!L13))/(proteomics!$E$19)</f>
        <v>2.8837905964624548</v>
      </c>
      <c r="L13" s="16">
        <f>(LN(fluxes!B13)-LN(fluxes!M13))/(proteomics!$E$20)</f>
        <v>2.2342997263812814</v>
      </c>
      <c r="M13" s="16">
        <f>(LN(fluxes!B13)-LN(fluxes!N13))/(proteomics!$E$23)</f>
        <v>1.1031879493851611</v>
      </c>
      <c r="N13" s="16">
        <f>(LN(fluxes!B13)-LN(fluxes!O13))/(proteomics!$E$24)</f>
        <v>1.5225553599471855</v>
      </c>
    </row>
    <row r="14" spans="1:14" x14ac:dyDescent="0.2">
      <c r="A14" s="1" t="s">
        <v>40</v>
      </c>
      <c r="B14" s="15">
        <f>((fluxes!B14-fluxes!C14)/(proteomics!C5-proteomics!D5))*(proteomics!D5/fluxes!C14)</f>
        <v>-3.319951042196613E-2</v>
      </c>
      <c r="C14" s="15">
        <f>((fluxes!B14-fluxes!D14)/(proteomics!C7-proteomics!D7))*(proteomics!D7/fluxes!D14)</f>
        <v>-3.295813950081846E-4</v>
      </c>
      <c r="D14" s="15">
        <f>((fluxes!B14-fluxes!E14)/(proteomics!C8-proteomics!D8))*(proteomics!D8/fluxes!E14)</f>
        <v>8.8814162490104116E-5</v>
      </c>
      <c r="E14" s="15">
        <f>((fluxes!B14-fluxes!F14)/(proteomics!C11-proteomics!D11))*(proteomics!D11/fluxes!F14)</f>
        <v>4.0455170489647066E-3</v>
      </c>
      <c r="F14" s="15">
        <f>((fluxes!B14-fluxes!G14)/(proteomics!C13-proteomics!D13))*(proteomics!D13/fluxes!G14)</f>
        <v>-4.5715918425658093E-2</v>
      </c>
      <c r="G14" s="15">
        <f>((fluxes!B14-fluxes!H14)/(proteomics!C15-proteomics!D15))*(proteomics!D15/fluxes!H14)</f>
        <v>-2.8294006943038602E-3</v>
      </c>
      <c r="H14" s="15">
        <f>((fluxes!B14-fluxes!I14)/(proteomics!$C$16-proteomics!$D$16))*(proteomics!$D$16/fluxes!I14)</f>
        <v>2.0405223737276742E-3</v>
      </c>
      <c r="I14" s="15">
        <f>((fluxes!B14-fluxes!J14)/(proteomics!$C$17-proteomics!$D$17))*(proteomics!$D$17/fluxes!J14)</f>
        <v>7.9373428969704597E-3</v>
      </c>
      <c r="J14" s="15">
        <f>((fluxes!B14-fluxes!K14)/(proteomics!$C$18-proteomics!$D$18))*(proteomics!$D$18/fluxes!K14)</f>
        <v>4.6015923314012653E-4</v>
      </c>
      <c r="K14" s="15">
        <f>((fluxes!B14-fluxes!L14)/(proteomics!$C$19-proteomics!$D$19))*(proteomics!$D$19/fluxes!L14)</f>
        <v>4.6921635764584274E-2</v>
      </c>
      <c r="L14" s="15">
        <f>((fluxes!B14-fluxes!M14)/(proteomics!$C$20-proteomics!$D$20))*(proteomics!$D$20/fluxes!M14)</f>
        <v>0.41619090098126671</v>
      </c>
      <c r="M14" s="15">
        <f>((fluxes!B14-fluxes!N14)/(proteomics!$C$23-proteomics!$D$23))*(proteomics!$D$23/fluxes!N14)</f>
        <v>8.2509747030555761E-2</v>
      </c>
      <c r="N14" s="15">
        <f>((fluxes!B14-fluxes!O14)/(proteomics!$C$24-proteomics!$D$24))*(proteomics!$D$24/fluxes!O14)</f>
        <v>0.1373392185414391</v>
      </c>
    </row>
    <row r="15" spans="1:14" x14ac:dyDescent="0.2">
      <c r="A15" s="1" t="s">
        <v>56</v>
      </c>
      <c r="B15" s="15">
        <f>(LN(fluxes!B15)-LN(fluxes!C15))/(proteomics!$E$5)</f>
        <v>-0.2502740224321327</v>
      </c>
      <c r="C15" s="16">
        <f>(LN(fluxes!B15)-LN(fluxes!D15))/(proteomics!$E$7)</f>
        <v>-6.1212970724796492E-2</v>
      </c>
      <c r="D15" s="15">
        <f>(LN(fluxes!B15)-LN(fluxes!E15))/(proteomics!$E$8)</f>
        <v>0.15444577343078861</v>
      </c>
      <c r="E15" s="16">
        <f>(LN(fluxes!B15)-LN(fluxes!F15))/(proteomics!$E$11)</f>
        <v>0.2349412626748538</v>
      </c>
      <c r="F15" s="16">
        <f>(LN(fluxes!B15)-LN(fluxes!G15))/(proteomics!$E$13)</f>
        <v>0.25284943513185143</v>
      </c>
      <c r="G15" s="16">
        <f>(LN(fluxes!B15)-LN(fluxes!H15))/(proteomics!$E$15)</f>
        <v>-1.0617962972053314E-2</v>
      </c>
      <c r="H15" s="15">
        <f>((fluxes!B15-fluxes!I15)/(proteomics!$C$16-proteomics!$D$16))*(proteomics!$D$16/fluxes!I15)</f>
        <v>-1.1893044619422574E-2</v>
      </c>
      <c r="I15" s="16">
        <f>(LN(fluxes!B15)-LN(fluxes!J15))/(proteomics!$E$17)</f>
        <v>0.11139742096679513</v>
      </c>
      <c r="J15" s="15">
        <f>((fluxes!B15-fluxes!K15)/(proteomics!$C$18-proteomics!$D$18))*(proteomics!$D$18/fluxes!K15)</f>
        <v>-2.9288404037105449E-3</v>
      </c>
      <c r="K15" s="15">
        <f>(LN(fluxes!B15)-LN(fluxes!L15))/(proteomics!$E$19)</f>
        <v>0.6748186853458783</v>
      </c>
      <c r="L15" s="16">
        <f>(LN(fluxes!B15)-LN(fluxes!M15))/(proteomics!$E$20)</f>
        <v>1.4311082320090076</v>
      </c>
      <c r="M15" s="16">
        <f>(LN(fluxes!B15)-LN(fluxes!N15))/(proteomics!$E$23)</f>
        <v>0.72253258212799665</v>
      </c>
      <c r="N15" s="16">
        <f>(LN(fluxes!B15)-LN(fluxes!O15))/(proteomics!$E$24)</f>
        <v>1.0152472876740704</v>
      </c>
    </row>
    <row r="16" spans="1:14" x14ac:dyDescent="0.2">
      <c r="A16" s="1" t="s">
        <v>46</v>
      </c>
      <c r="B16" s="15">
        <f>(LN(fluxes!B16)-LN(fluxes!C16))/(proteomics!$E$5)</f>
        <v>-0.2502740224321327</v>
      </c>
      <c r="C16" s="16">
        <f>(LN(fluxes!B16)-LN(fluxes!D16))/(proteomics!$E$7)</f>
        <v>-6.1212970724796492E-2</v>
      </c>
      <c r="D16" s="15">
        <f>(LN(fluxes!B16)-LN(fluxes!E16))/(proteomics!$E$8)</f>
        <v>0.15444577343078861</v>
      </c>
      <c r="E16" s="16">
        <f>(LN(fluxes!B16)-LN(fluxes!F16))/(proteomics!$E$11)</f>
        <v>0.2349412626748538</v>
      </c>
      <c r="F16" s="16">
        <f>(LN(fluxes!B16)-LN(fluxes!G16))/(proteomics!$E$13)</f>
        <v>0.25284943513185143</v>
      </c>
      <c r="G16" s="16">
        <f>(LN(fluxes!B16)-LN(fluxes!H16))/(proteomics!$E$15)</f>
        <v>-1.0617962972053314E-2</v>
      </c>
      <c r="H16" s="15">
        <f>((fluxes!B16-fluxes!I16)/(proteomics!$C$16-proteomics!$D$16))*(proteomics!$D$16/fluxes!I16)</f>
        <v>-1.1893044619422574E-2</v>
      </c>
      <c r="I16" s="16">
        <f>(LN(fluxes!B16)-LN(fluxes!J16))/(proteomics!$E$17)</f>
        <v>0.11139742096679513</v>
      </c>
      <c r="J16" s="15">
        <f>((fluxes!B16-fluxes!K16)/(proteomics!$C$18-proteomics!$D$18))*(proteomics!$D$18/fluxes!K16)</f>
        <v>-2.9288404037105449E-3</v>
      </c>
      <c r="K16" s="15">
        <f>(LN(fluxes!B16)-LN(fluxes!L16))/(proteomics!$E$19)</f>
        <v>0.6748186853458783</v>
      </c>
      <c r="L16" s="16">
        <f>(LN(fluxes!B16)-LN(fluxes!M16))/(proteomics!$E$20)</f>
        <v>1.4311082320090076</v>
      </c>
      <c r="M16" s="16">
        <f>(LN(fluxes!B16)-LN(fluxes!N16))/(proteomics!$E$23)</f>
        <v>0.72253258212799665</v>
      </c>
      <c r="N16" s="16">
        <f>(LN(fluxes!B16)-LN(fluxes!O16))/(proteomics!$E$24)</f>
        <v>1.0152472876740704</v>
      </c>
    </row>
    <row r="17" spans="1:14" x14ac:dyDescent="0.2">
      <c r="A17" s="1" t="s">
        <v>58</v>
      </c>
      <c r="B17" s="15">
        <f>(LN(fluxes!B17)-LN(fluxes!C17))/(proteomics!$E$5)</f>
        <v>-0.29078323736962985</v>
      </c>
      <c r="C17" s="16">
        <f>(LN(fluxes!B17)-LN(fluxes!D17))/(proteomics!$E$7)</f>
        <v>-6.7094688092418295E-2</v>
      </c>
      <c r="D17" s="15">
        <f>(LN(fluxes!B17)-LN(fluxes!E17))/(proteomics!$E$8)</f>
        <v>1.0092468162124471</v>
      </c>
      <c r="E17" s="16">
        <f>(LN(fluxes!B17)-LN(fluxes!F17))/(proteomics!$E$11)</f>
        <v>0.53203271168710642</v>
      </c>
      <c r="F17" s="16">
        <f>(LN(fluxes!B17)-LN(fluxes!G17))/(proteomics!$E$13)</f>
        <v>0.50659741811217918</v>
      </c>
      <c r="G17" s="16">
        <f>(LN(fluxes!B17)-LN(fluxes!H17))/(proteomics!$E$15)</f>
        <v>1.7493572055822623E-2</v>
      </c>
      <c r="H17" s="15">
        <f>((fluxes!B17-fluxes!I17)/(proteomics!$C$16-proteomics!$D$16))*(proteomics!$D$16/fluxes!I17)</f>
        <v>-3.3170066340132676E-3</v>
      </c>
      <c r="I17" s="16">
        <f>(LN(fluxes!B17)-LN(fluxes!J17))/(proteomics!$E$17)</f>
        <v>0.2971626507454983</v>
      </c>
      <c r="J17" s="15">
        <f>((fluxes!B17-fluxes!K17)/(proteomics!$C$18-proteomics!$D$18))*(proteomics!$D$18/fluxes!K17)</f>
        <v>-7.866586736074749E-4</v>
      </c>
      <c r="K17" s="15">
        <f>((fluxes!B17-fluxes!L17)/(proteomics!$C$19-proteomics!$D$19))*(proteomics!$D$19/fluxes!L17)</f>
        <v>-0.36480813226727055</v>
      </c>
      <c r="L17" s="16">
        <f>(LN(fluxes!B17)-LN(fluxes!M17))/(proteomics!$E$20)</f>
        <v>10.844070996728369</v>
      </c>
      <c r="M17" s="16">
        <f>(LN(fluxes!B17)-LN(fluxes!N17))/(proteomics!$E$23)</f>
        <v>5.139314667479745</v>
      </c>
      <c r="N17" s="16">
        <f>(LN(fluxes!B17)-LN(fluxes!O17))/(proteomics!$E$24)</f>
        <v>6.8492816364328446</v>
      </c>
    </row>
    <row r="18" spans="1:14" x14ac:dyDescent="0.2">
      <c r="A18" s="1" t="s">
        <v>61</v>
      </c>
      <c r="B18" s="15">
        <f>(LN(fluxes!B18)-LN(fluxes!C18))/(proteomics!$E$5)</f>
        <v>0.13800185574057369</v>
      </c>
      <c r="C18" s="16">
        <f>(LN(fluxes!B18)-LN(fluxes!D18))/(proteomics!$E$7)</f>
        <v>3.1064185680049546E-2</v>
      </c>
      <c r="D18" s="15">
        <f>(LN(fluxes!B18)-LN(fluxes!E18))/(proteomics!$E$8)</f>
        <v>2.5912067056519633E-2</v>
      </c>
      <c r="E18" s="16">
        <f>(LN(fluxes!B18)-LN(fluxes!F18))/(proteomics!$E$11)</f>
        <v>5.910062991937471E-2</v>
      </c>
      <c r="F18" s="16">
        <f>(LN(fluxes!B18)-LN(fluxes!G18))/(proteomics!$E$13)</f>
        <v>0.12990525689608406</v>
      </c>
      <c r="G18" s="16">
        <f>(LN(fluxes!B18)-LN(fluxes!H18))/(proteomics!$E$15)</f>
        <v>6.9644117841928385E-3</v>
      </c>
      <c r="H18" s="16">
        <f>(LN(fluxes!B18)-LN(fluxes!I18))/(proteomics!$E$16)</f>
        <v>-2.9703303814803621E-2</v>
      </c>
      <c r="I18" s="16">
        <f>(LN(fluxes!B18)-LN(fluxes!J18))/(proteomics!$E$17)</f>
        <v>-4.3251978180333835E-2</v>
      </c>
      <c r="J18" s="16">
        <f>(LN(fluxes!B18)-LN(fluxes!K18))/(proteomics!$E$18)</f>
        <v>-1.962950464773857E-2</v>
      </c>
      <c r="K18" s="15">
        <f>(LN(fluxes!B18)-LN(fluxes!L18))/(proteomics!$E$19)</f>
        <v>-0.13854804187387529</v>
      </c>
      <c r="L18" s="16">
        <f>(LN(fluxes!B18)-LN(fluxes!M18))/(proteomics!$E$20)</f>
        <v>-0.22574680732432434</v>
      </c>
      <c r="M18" s="16">
        <f>(LN(fluxes!B18)-LN(fluxes!N18))/(proteomics!$E$23)</f>
        <v>-1.0769909490314035E-2</v>
      </c>
      <c r="N18" s="16">
        <f>(LN(fluxes!B18)-LN(fluxes!O18))/(proteomics!$E$24)</f>
        <v>9.9858714793942024E-2</v>
      </c>
    </row>
    <row r="19" spans="1:14" x14ac:dyDescent="0.2">
      <c r="A19" s="1" t="s">
        <v>62</v>
      </c>
      <c r="B19" s="15">
        <f>(LN(fluxes!B19)-LN(fluxes!C19))/(proteomics!$E$5)</f>
        <v>0.13800185574057369</v>
      </c>
      <c r="C19" s="16">
        <f>(LN(fluxes!B19)-LN(fluxes!D19))/(proteomics!$E$7)</f>
        <v>3.1064185680049546E-2</v>
      </c>
      <c r="D19" s="15">
        <f>(LN(fluxes!B19)-LN(fluxes!E19))/(proteomics!$E$8)</f>
        <v>2.5912067056519633E-2</v>
      </c>
      <c r="E19" s="16">
        <f>(LN(fluxes!B19)-LN(fluxes!F19))/(proteomics!$E$11)</f>
        <v>5.910062991937471E-2</v>
      </c>
      <c r="F19" s="16">
        <f>(LN(fluxes!B19)-LN(fluxes!G19))/(proteomics!$E$13)</f>
        <v>0.12990525689608406</v>
      </c>
      <c r="G19" s="16">
        <f>(LN(fluxes!B19)-LN(fluxes!H19))/(proteomics!$E$15)</f>
        <v>6.9644117841928385E-3</v>
      </c>
      <c r="H19" s="16">
        <f>(LN(fluxes!B19)-LN(fluxes!I19))/(proteomics!$E$16)</f>
        <v>-2.9703303814803621E-2</v>
      </c>
      <c r="I19" s="16">
        <f>(LN(fluxes!B19)-LN(fluxes!J19))/(proteomics!$E$17)</f>
        <v>-4.3251978180333835E-2</v>
      </c>
      <c r="J19" s="16">
        <f>(LN(fluxes!B19)-LN(fluxes!K19))/(proteomics!$E$18)</f>
        <v>-1.962950464773857E-2</v>
      </c>
      <c r="K19" s="15">
        <f>(LN(fluxes!B19)-LN(fluxes!L19))/(proteomics!$E$19)</f>
        <v>-0.13854804187387529</v>
      </c>
      <c r="L19" s="16">
        <f>(LN(fluxes!B19)-LN(fluxes!M19))/(proteomics!$E$20)</f>
        <v>-0.22574680732432434</v>
      </c>
      <c r="M19" s="16">
        <f>(LN(fluxes!B19)-LN(fluxes!N19))/(proteomics!$E$23)</f>
        <v>-1.0769909490314035E-2</v>
      </c>
      <c r="N19" s="16">
        <f>(LN(fluxes!B19)-LN(fluxes!O19))/(proteomics!$E$24)</f>
        <v>9.9858714793942024E-2</v>
      </c>
    </row>
    <row r="20" spans="1:14" x14ac:dyDescent="0.2">
      <c r="A20" s="1" t="s">
        <v>63</v>
      </c>
      <c r="B20" s="15">
        <f>(LN(fluxes!B20)-LN(fluxes!C20))/(proteomics!$E$5)</f>
        <v>0.23449971997534283</v>
      </c>
      <c r="C20" s="16">
        <f>(LN(fluxes!B20)-LN(fluxes!D20))/(proteomics!$E$7)</f>
        <v>5.6080150706832761E-2</v>
      </c>
      <c r="D20" s="15">
        <f>(LN(fluxes!B20)-LN(fluxes!E20))/(proteomics!$E$8)</f>
        <v>5.7058603817486959E-2</v>
      </c>
      <c r="E20" s="16">
        <f>(LN(fluxes!B20)-LN(fluxes!F20))/(proteomics!$E$11)</f>
        <v>2.3953502627610215E-2</v>
      </c>
      <c r="F20" s="16">
        <f>(LN(fluxes!B20)-LN(fluxes!G20))/(proteomics!$E$13)</f>
        <v>0.15125889695340933</v>
      </c>
      <c r="G20" s="16">
        <f>(LN(fluxes!B20)-LN(fluxes!H20))/(proteomics!$E$15)</f>
        <v>-4.4848074221717465E-2</v>
      </c>
      <c r="H20" s="16">
        <f>(LN(fluxes!B20)-LN(fluxes!I20))/(proteomics!$E$16)</f>
        <v>-1.7356643729105597E-2</v>
      </c>
      <c r="I20" s="16">
        <f>(LN(fluxes!B20)-LN(fluxes!J20))/(proteomics!$E$17)</f>
        <v>-5.9176520690641769E-2</v>
      </c>
      <c r="J20" s="16">
        <f>(LN(fluxes!B20)-LN(fluxes!K20))/(proteomics!$E$18)</f>
        <v>-2.8531154231716375E-2</v>
      </c>
      <c r="K20" s="15">
        <f>(LN(fluxes!B20)-LN(fluxes!L20))/(proteomics!$E$19)</f>
        <v>-0.15760705215363124</v>
      </c>
      <c r="L20" s="16">
        <f>(LN(fluxes!B20)-LN(fluxes!M20))/(proteomics!$E$20)</f>
        <v>-0.22023873801216892</v>
      </c>
      <c r="M20" s="16">
        <f>(LN(fluxes!B20)-LN(fluxes!N20))/(proteomics!$E$23)</f>
        <v>-0.16137138823013983</v>
      </c>
      <c r="N20" s="16">
        <f>(LN(fluxes!B20)-LN(fluxes!O20))/(proteomics!$E$24)</f>
        <v>-6.8726988128462438E-2</v>
      </c>
    </row>
    <row r="21" spans="1:14" x14ac:dyDescent="0.2">
      <c r="A21" s="1" t="s">
        <v>64</v>
      </c>
      <c r="B21" s="15">
        <f>(LN(fluxes!B21)-LN(fluxes!C21))/(proteomics!$E$5)</f>
        <v>0.27847605472037718</v>
      </c>
      <c r="C21" s="16">
        <f>(LN(fluxes!B21)-LN(fluxes!D21))/(proteomics!$E$7)</f>
        <v>6.6902548491647076E-2</v>
      </c>
      <c r="D21" s="15">
        <f>(LN(fluxes!B21)-LN(fluxes!E21))/(proteomics!$E$8)</f>
        <v>6.9879630140721169E-2</v>
      </c>
      <c r="E21" s="16">
        <f>(LN(fluxes!B21)-LN(fluxes!F21))/(proteomics!$E$11)</f>
        <v>3.412577359531959E-2</v>
      </c>
      <c r="F21" s="16">
        <f>(LN(fluxes!B21)-LN(fluxes!G21))/(proteomics!$E$13)</f>
        <v>0.18660816833468113</v>
      </c>
      <c r="G21" s="16">
        <f>(LN(fluxes!B21)-LN(fluxes!H21))/(proteomics!$E$15)</f>
        <v>-4.4243579176718416E-2</v>
      </c>
      <c r="H21" s="16">
        <f>(LN(fluxes!B21)-LN(fluxes!I21))/(proteomics!$E$16)</f>
        <v>-1.4701729470644591E-2</v>
      </c>
      <c r="I21" s="16">
        <f>(LN(fluxes!B21)-LN(fluxes!J21))/(proteomics!$E$17)</f>
        <v>-4.9032656697840425E-2</v>
      </c>
      <c r="J21" s="16">
        <f>(LN(fluxes!B21)-LN(fluxes!K21))/(proteomics!$E$18)</f>
        <v>-2.8995919197207509E-2</v>
      </c>
      <c r="K21" s="15">
        <f>(LN(fluxes!B21)-LN(fluxes!L21))/(proteomics!$E$19)</f>
        <v>-0.16326491270328747</v>
      </c>
      <c r="L21" s="16">
        <f>(LN(fluxes!B21)-LN(fluxes!M21))/(proteomics!$E$20)</f>
        <v>-0.22216477359342529</v>
      </c>
      <c r="M21" s="16">
        <f>(LN(fluxes!B21)-LN(fluxes!N21))/(proteomics!$E$23)</f>
        <v>-0.16349407857876583</v>
      </c>
      <c r="N21" s="16">
        <f>(LN(fluxes!B21)-LN(fluxes!O21))/(proteomics!$E$24)</f>
        <v>-6.1959115446075949E-2</v>
      </c>
    </row>
    <row r="22" spans="1:14" x14ac:dyDescent="0.2">
      <c r="A22" s="1" t="s">
        <v>65</v>
      </c>
      <c r="B22" s="15">
        <f>(LN(fluxes!B22)-LN(fluxes!C22))/(proteomics!$E$5)</f>
        <v>0.17945870010213935</v>
      </c>
      <c r="C22" s="16">
        <f>(LN(fluxes!B22)-LN(fluxes!D22))/(proteomics!$E$7)</f>
        <v>4.2710170775105222E-2</v>
      </c>
      <c r="D22" s="15">
        <f>(LN(fluxes!B22)-LN(fluxes!E22))/(proteomics!$E$8)</f>
        <v>3.7588970990730622E-2</v>
      </c>
      <c r="E22" s="16">
        <f>(LN(fluxes!B22)-LN(fluxes!F22))/(proteomics!$E$11)</f>
        <v>7.979090099244826E-2</v>
      </c>
      <c r="F22" s="16">
        <f>(LN(fluxes!B22)-LN(fluxes!G22))/(proteomics!$E$13)</f>
        <v>0.21068425286585005</v>
      </c>
      <c r="G22" s="16">
        <f>(LN(fluxes!B22)-LN(fluxes!H22))/(proteomics!$E$15)</f>
        <v>2.2797073450286771E-2</v>
      </c>
      <c r="H22" s="16">
        <f>(LN(fluxes!B22)-LN(fluxes!I22))/(proteomics!$E$16)</f>
        <v>-2.1859767268680622E-2</v>
      </c>
      <c r="I22" s="16">
        <f>(LN(fluxes!B22)-LN(fluxes!J22))/(proteomics!$E$17)</f>
        <v>-1.2883029484044801E-2</v>
      </c>
      <c r="J22" s="16">
        <f>(LN(fluxes!B22)-LN(fluxes!K22))/(proteomics!$E$18)</f>
        <v>-1.4887107655541697E-2</v>
      </c>
      <c r="K22" s="15">
        <f>(LN(fluxes!B22)-LN(fluxes!L22))/(proteomics!$E$19)</f>
        <v>-0.12940153874040372</v>
      </c>
      <c r="L22" s="16">
        <f>(LN(fluxes!B22)-LN(fluxes!M22))/(proteomics!$E$20)</f>
        <v>-0.16206040345056821</v>
      </c>
      <c r="M22" s="16">
        <f>(LN(fluxes!B22)-LN(fluxes!N22))/(proteomics!$E$23)</f>
        <v>3.1370561194709976E-2</v>
      </c>
      <c r="N22" s="16">
        <f>(LN(fluxes!B22)-LN(fluxes!O22))/(proteomics!$E$24)</f>
        <v>0.17393110802796127</v>
      </c>
    </row>
    <row r="23" spans="1:14" x14ac:dyDescent="0.2">
      <c r="A23" s="1" t="s">
        <v>66</v>
      </c>
      <c r="B23" s="15">
        <f>(LN(fluxes!B23)-LN(fluxes!C23))/(proteomics!$E$5)</f>
        <v>0.16305548045058582</v>
      </c>
      <c r="C23" s="16">
        <f>(LN(fluxes!B23)-LN(fluxes!D23))/(proteomics!$E$7)</f>
        <v>3.6241458391038296E-2</v>
      </c>
      <c r="D23" s="15">
        <f>(LN(fluxes!B23)-LN(fluxes!E23))/(proteomics!$E$8)</f>
        <v>3.1481913999161656E-2</v>
      </c>
      <c r="E23" s="16">
        <f>(LN(fluxes!B23)-LN(fluxes!F23))/(proteomics!$E$11)</f>
        <v>6.7431921015081192E-2</v>
      </c>
      <c r="F23" s="16">
        <f>(LN(fluxes!B23)-LN(fluxes!G23))/(proteomics!$E$13)</f>
        <v>0.16774573997113762</v>
      </c>
      <c r="G23" s="16">
        <f>(LN(fluxes!B23)-LN(fluxes!H23))/(proteomics!$E$15)</f>
        <v>1.2098029081728436E-2</v>
      </c>
      <c r="H23" s="16">
        <f>(LN(fluxes!B23)-LN(fluxes!I23))/(proteomics!$E$16)</f>
        <v>-2.8761643889323181E-2</v>
      </c>
      <c r="I23" s="16">
        <f>(LN(fluxes!B23)-LN(fluxes!J23))/(proteomics!$E$17)</f>
        <v>-3.3738090194408356E-2</v>
      </c>
      <c r="J23" s="16">
        <f>(LN(fluxes!B23)-LN(fluxes!K23))/(proteomics!$E$18)</f>
        <v>-2.0524766576585075E-2</v>
      </c>
      <c r="K23" s="15">
        <f>(LN(fluxes!B23)-LN(fluxes!L23))/(proteomics!$E$19)</f>
        <v>-0.14509794012036986</v>
      </c>
      <c r="L23" s="16">
        <f>(LN(fluxes!B23)-LN(fluxes!M23))/(proteomics!$E$20)</f>
        <v>-0.22767899994629373</v>
      </c>
      <c r="M23" s="16">
        <f>(LN(fluxes!B23)-LN(fluxes!N23))/(proteomics!$E$23)</f>
        <v>2.7203597003558127E-4</v>
      </c>
      <c r="N23" s="16">
        <f>(LN(fluxes!B23)-LN(fluxes!O23))/(proteomics!$E$24)</f>
        <v>0.13248539560849587</v>
      </c>
    </row>
    <row r="24" spans="1:14" x14ac:dyDescent="0.2">
      <c r="A24" s="1" t="s">
        <v>67</v>
      </c>
      <c r="B24" s="15">
        <f>(LN(fluxes!B24)-LN(fluxes!C24))/(proteomics!$E$5)</f>
        <v>7.0749108478138437E-2</v>
      </c>
      <c r="C24" s="16">
        <f>(LN(fluxes!B24)-LN(fluxes!D24))/(proteomics!$E$7)</f>
        <v>7.4252619736504769E-3</v>
      </c>
      <c r="D24" s="15">
        <f>(LN(fluxes!B24)-LN(fluxes!E24))/(proteomics!$E$8)</f>
        <v>6.5415360814065184E-3</v>
      </c>
      <c r="E24" s="16">
        <f>(LN(fluxes!B24)-LN(fluxes!F24))/(proteomics!$E$11)</f>
        <v>6.2995456600995245E-2</v>
      </c>
      <c r="F24" s="16">
        <f>(LN(fluxes!B24)-LN(fluxes!G24))/(proteomics!$E$13)</f>
        <v>3.5455321969873978E-2</v>
      </c>
      <c r="G24" s="16">
        <f>(LN(fluxes!B24)-LN(fluxes!H24))/(proteomics!$E$15)</f>
        <v>2.9927060636460955E-2</v>
      </c>
      <c r="H24" s="16">
        <f>(LN(fluxes!B24)-LN(fluxes!I24))/(proteomics!$E$16)</f>
        <v>-4.6045529605533278E-2</v>
      </c>
      <c r="I24" s="16">
        <f>(LN(fluxes!B24)-LN(fluxes!J24))/(proteomics!$E$17)</f>
        <v>-7.2345548830591175E-2</v>
      </c>
      <c r="J24" s="16">
        <f>(LN(fluxes!B24)-LN(fluxes!K24))/(proteomics!$E$18)</f>
        <v>-2.9221508861880251E-2</v>
      </c>
      <c r="K24" s="15">
        <f>(LN(fluxes!B24)-LN(fluxes!L24))/(proteomics!$E$19)</f>
        <v>-0.17034477012790961</v>
      </c>
      <c r="L24" s="16">
        <f>(LN(fluxes!B24)-LN(fluxes!M24))/(proteomics!$E$20)</f>
        <v>-0.38714188450876325</v>
      </c>
      <c r="M24" s="16">
        <f>(LN(fluxes!B24)-LN(fluxes!N24))/(proteomics!$E$23)</f>
        <v>5.2095037019154182E-2</v>
      </c>
      <c r="N24" s="16">
        <f>(LN(fluxes!B24)-LN(fluxes!O24))/(proteomics!$E$24)</f>
        <v>0.17835136004414531</v>
      </c>
    </row>
    <row r="25" spans="1:14" x14ac:dyDescent="0.2">
      <c r="A25" s="1" t="s">
        <v>68</v>
      </c>
      <c r="B25" s="15">
        <f>(LN(fluxes!B25)-LN(fluxes!C25))/(proteomics!$E$5)</f>
        <v>2.9361161650872112</v>
      </c>
      <c r="C25" s="16">
        <f>(LN(fluxes!B25)-LN(fluxes!D25))/(proteomics!E7)</f>
        <v>1.1578757952168217</v>
      </c>
      <c r="D25" s="15">
        <f>(LN(fluxes!B25)-LN(fluxes!E25))/(proteomics!$E$8)</f>
        <v>0.34679223057954223</v>
      </c>
      <c r="E25" s="16">
        <f>(LN(fluxes!B25)-LN(fluxes!F25))/(proteomics!$E$11)</f>
        <v>-4.6207491912375186E-2</v>
      </c>
      <c r="F25" s="16">
        <f>(LN(fluxes!B25)-LN(fluxes!G25))/(proteomics!$E$13)</f>
        <v>0.8889552383583551</v>
      </c>
      <c r="G25" s="16">
        <f>(LN(fluxes!B25)-LN(fluxes!H25))/(proteomics!$E$15)</f>
        <v>-0.12812029907554226</v>
      </c>
      <c r="H25" s="16">
        <f>(LN(fluxes!B25)-LN(fluxes!I25))/(proteomics!$E$16)</f>
        <v>1.2354106050995211</v>
      </c>
      <c r="I25" s="16">
        <f>(LN(fluxes!B25)-LN(fluxes!J25))/(proteomics!$E$17)</f>
        <v>0.19920556651758325</v>
      </c>
      <c r="J25" s="16">
        <f>(LN(fluxes!B25)-LN(fluxes!K25))/(proteomics!$E$18)</f>
        <v>0.17473314443788715</v>
      </c>
      <c r="K25" s="15">
        <f>(LN(fluxes!B25)-LN(fluxes!L25))/(proteomics!$E$19)</f>
        <v>2.8095982864590252</v>
      </c>
      <c r="L25" s="16">
        <f>(LN(fluxes!B25)-LN(fluxes!M25))/(proteomics!$E$20)</f>
        <v>11.745488141603213</v>
      </c>
      <c r="M25" s="16">
        <f>(LN(fluxes!B25)-LN(fluxes!N25))/(proteomics!$E$23)</f>
        <v>-0.36590626594855591</v>
      </c>
      <c r="N25" s="16">
        <f>(LN(fluxes!B25)-LN(fluxes!O25))/(proteomics!$E$24)</f>
        <v>-0.38974646770903215</v>
      </c>
    </row>
    <row r="26" spans="1:14" x14ac:dyDescent="0.2">
      <c r="A26" s="1" t="s">
        <v>69</v>
      </c>
      <c r="B26" s="15">
        <f>(LN(fluxes!B26)-LN(fluxes!C26))/(proteomics!$E$5)</f>
        <v>-5.8577031536752901E-2</v>
      </c>
      <c r="C26" s="16">
        <f>(LN(fluxes!B26)-LN(fluxes!D26))/(proteomics!$E$7)</f>
        <v>-2.81439289313235E-2</v>
      </c>
      <c r="D26" s="15">
        <f>(LN(fluxes!B26)-LN(fluxes!E26))/(proteomics!$E$8)</f>
        <v>-0.20417510668974706</v>
      </c>
      <c r="E26" s="16">
        <f>(LN(fluxes!B26)-LN(fluxes!F26))/(proteomics!$E$11)</f>
        <v>1.6582215584532982</v>
      </c>
      <c r="F26" s="16">
        <f>(LN(fluxes!B26)-LN(fluxes!G26))/(proteomics!$E$13)</f>
        <v>5.7611200843700834</v>
      </c>
      <c r="G26" s="16">
        <f>(LN(fluxes!B26)-LN(fluxes!H26))/(proteomics!$E$15)</f>
        <v>1.4355056856861566</v>
      </c>
      <c r="H26" s="16">
        <f>(LN(fluxes!B26)-LN(fluxes!I26))/(proteomics!$E$16)</f>
        <v>-0.23555323590195118</v>
      </c>
      <c r="I26" s="16">
        <f>(LN(fluxes!B26)-LN(fluxes!J26))/(proteomics!$E$17)</f>
        <v>2.798152544636177</v>
      </c>
      <c r="J26" s="16">
        <f>(LN(fluxes!B26)-LN(fluxes!K26))/(proteomics!$E$18)</f>
        <v>0.7564125501619493</v>
      </c>
      <c r="K26" s="15">
        <f>(LN(fluxes!B26)-LN(fluxes!L26))/(proteomics!$E$19)</f>
        <v>2.1060080367523142</v>
      </c>
      <c r="L26" s="16">
        <f>(LN(fluxes!B26)-LN(fluxes!M26))/(proteomics!$E$20)</f>
        <v>8.804138492328951</v>
      </c>
      <c r="M26" s="16">
        <f>(LN(fluxes!B26)-LN(fluxes!N26))/(proteomics!$E$23)</f>
        <v>4.172532446698308</v>
      </c>
      <c r="N26" s="16">
        <f>(LN(fluxes!B26)-LN(fluxes!O26))/(proteomics!$E$24)</f>
        <v>5.5608289652763441</v>
      </c>
    </row>
    <row r="27" spans="1:14" x14ac:dyDescent="0.2">
      <c r="A27" s="1" t="s">
        <v>70</v>
      </c>
      <c r="B27" s="15">
        <f>(LN(fluxes!B27)-LN(fluxes!C27))/(proteomics!$E$5)</f>
        <v>-8.8121745838030105E-2</v>
      </c>
      <c r="C27" s="16">
        <f>(LN(fluxes!B27)-LN(fluxes!D27))/(proteomics!$E$7)</f>
        <v>-4.0226045397304816E-2</v>
      </c>
      <c r="D27" s="15">
        <f>(LN(fluxes!B27)-LN(fluxes!E27))/(proteomics!$E$8)</f>
        <v>-5.5543773792157906E-2</v>
      </c>
      <c r="E27" s="16">
        <f>(LN(fluxes!B27)-LN(fluxes!F27))/(proteomics!$E$11)</f>
        <v>0.28021763873210981</v>
      </c>
      <c r="F27" s="16">
        <f>(LN(fluxes!B27)-LN(fluxes!G27))/(proteomics!$E$13)</f>
        <v>4.6786104458933483E-2</v>
      </c>
      <c r="G27" s="16">
        <f>(LN(fluxes!B27)-LN(fluxes!H27))/(proteomics!$E$15)</f>
        <v>2.004597770707309</v>
      </c>
      <c r="H27" s="16">
        <f>(LN(fluxes!B27)-LN(fluxes!I27))/(proteomics!$E$16)</f>
        <v>-7.1621907839563861E-2</v>
      </c>
      <c r="I27" s="16">
        <f>(LN(fluxes!B27)-LN(fluxes!J27))/(proteomics!$E$17)</f>
        <v>2.6322699717148252E-2</v>
      </c>
      <c r="J27" s="16">
        <f>(LN(fluxes!B27)-LN(fluxes!K27))/(proteomics!$E$18)</f>
        <v>1.6499220981289583E-2</v>
      </c>
      <c r="K27" s="15">
        <f>(LN(fluxes!B27)-LN(fluxes!L27))/(proteomics!$E$19)</f>
        <v>-4.9502992084282875E-2</v>
      </c>
      <c r="L27" s="16">
        <f>(LN(fluxes!B27)-LN(fluxes!M27))/(proteomics!$E$20)</f>
        <v>-0.25039130345271704</v>
      </c>
      <c r="M27" s="16">
        <f>(LN(fluxes!B27)-LN(fluxes!N27))/(proteomics!$E$23)</f>
        <v>5.8266918231377947</v>
      </c>
      <c r="N27" s="16">
        <f>(LN(fluxes!B27)-LN(fluxes!O27))/(proteomics!$E$24)</f>
        <v>2.0402282877671185</v>
      </c>
    </row>
    <row r="28" spans="1:14" x14ac:dyDescent="0.2">
      <c r="A28" s="1" t="s">
        <v>71</v>
      </c>
      <c r="B28" s="15">
        <f>(LN(fluxes!B28)-LN(fluxes!C28))/(proteomics!$E$5)</f>
        <v>-8.8121745838030105E-2</v>
      </c>
      <c r="C28" s="16">
        <f>(LN(fluxes!B28)-LN(fluxes!D28))/(proteomics!$E$7)</f>
        <v>-4.0226045397304816E-2</v>
      </c>
      <c r="D28" s="15">
        <f>(LN(fluxes!B28)-LN(fluxes!E28))/(proteomics!$E$8)</f>
        <v>-5.5543773792157906E-2</v>
      </c>
      <c r="E28" s="16">
        <f>(LN(fluxes!B28)-LN(fluxes!F28))/(proteomics!$E$11)</f>
        <v>0.28021763873210981</v>
      </c>
      <c r="F28" s="16">
        <f>(LN(fluxes!B28)-LN(fluxes!G28))/(proteomics!$E$13)</f>
        <v>4.6786104458933483E-2</v>
      </c>
      <c r="G28" s="16">
        <f>(LN(fluxes!B28)-LN(fluxes!H28))/(proteomics!$E$15)</f>
        <v>2.004597770707309</v>
      </c>
      <c r="H28" s="16">
        <f>(LN(fluxes!B28)-LN(fluxes!I28))/(proteomics!$E$16)</f>
        <v>-7.1621907839563861E-2</v>
      </c>
      <c r="I28" s="16">
        <f>(LN(fluxes!B28)-LN(fluxes!J28))/(proteomics!$E$17)</f>
        <v>2.6322699717148252E-2</v>
      </c>
      <c r="J28" s="16">
        <f>(LN(fluxes!B28)-LN(fluxes!K28))/(proteomics!$E$18)</f>
        <v>1.6499220981289583E-2</v>
      </c>
      <c r="K28" s="15">
        <f>(LN(fluxes!B28)-LN(fluxes!L28))/(proteomics!$E$19)</f>
        <v>-4.9502992084282875E-2</v>
      </c>
      <c r="L28" s="16">
        <f>(LN(fluxes!B28)-LN(fluxes!M28))/(proteomics!$E$20)</f>
        <v>-0.25039130345271704</v>
      </c>
      <c r="M28" s="16">
        <f>(LN(fluxes!B28)-LN(fluxes!N28))/(proteomics!$E$23)</f>
        <v>5.8266918231377947</v>
      </c>
      <c r="N28" s="16">
        <f>(LN(fluxes!B28)-LN(fluxes!O28))/(proteomics!$E$24)</f>
        <v>2.0402282877671185</v>
      </c>
    </row>
    <row r="29" spans="1:14" ht="16" x14ac:dyDescent="0.2">
      <c r="A29" s="5" t="s">
        <v>72</v>
      </c>
      <c r="B29" s="15">
        <f>(LN(fluxes!B29)-LN(fluxes!C29))/(proteomics!$E$5)</f>
        <v>8.2575884463306409E-2</v>
      </c>
      <c r="C29" s="16">
        <f>(LN(fluxes!B29)-LN(fluxes!D29))/(proteomics!$E$7)</f>
        <v>1.9562094347768979E-2</v>
      </c>
      <c r="D29" s="15">
        <f>(LN(fluxes!B29)-LN(fluxes!E29))/(proteomics!$E$8)</f>
        <v>3.325590104092175E-2</v>
      </c>
      <c r="E29" s="16">
        <f>(LN(fluxes!B29)-LN(fluxes!F29))/(proteomics!$E$11)</f>
        <v>6.940841740983765E-2</v>
      </c>
      <c r="F29" s="16">
        <f>(LN(fluxes!B29)-LN(fluxes!G29))/(proteomics!$E$13)</f>
        <v>0.14680813948240407</v>
      </c>
      <c r="G29" s="16">
        <f>(LN(fluxes!B29)-LN(fluxes!H29))/(proteomics!$E$15)</f>
        <v>5.4394695865336764E-3</v>
      </c>
      <c r="H29" s="16">
        <f>(LN(fluxes!B29)-LN(fluxes!I29))/(proteomics!$E$16)</f>
        <v>-1.3859158867763321E-2</v>
      </c>
      <c r="I29" s="16">
        <f>(LN(fluxes!B29)-LN(fluxes!J29))/(proteomics!$E$17)</f>
        <v>-2.8245820447102332E-2</v>
      </c>
      <c r="J29" s="16">
        <f>(LN(fluxes!B29)-LN(fluxes!K29))/(proteomics!$E$18)</f>
        <v>-7.4535957966303948E-3</v>
      </c>
      <c r="K29" s="15">
        <f>(LN(fluxes!B29)-LN(fluxes!L29))/(proteomics!$E$19)</f>
        <v>-0.11283561553880123</v>
      </c>
      <c r="L29" s="16">
        <f>(LN(fluxes!B29)-LN(fluxes!M29))/(proteomics!$E$20)</f>
        <v>-0.1317639539938997</v>
      </c>
      <c r="M29" s="16">
        <f>(LN(fluxes!B29)-LN(fluxes!N29))/(proteomics!$E$23)</f>
        <v>2.9684900305148993E-2</v>
      </c>
      <c r="N29" s="16">
        <f>(LN(fluxes!B29)-LN(fluxes!O29))/(proteomics!$E$24)</f>
        <v>0.15487038517608392</v>
      </c>
    </row>
    <row r="30" spans="1:14" ht="16" x14ac:dyDescent="0.2">
      <c r="A30" s="4"/>
      <c r="B30" s="1"/>
    </row>
    <row r="31" spans="1:14" ht="16" x14ac:dyDescent="0.2">
      <c r="A31" s="4"/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proteomics</vt:lpstr>
      <vt:lpstr>fluxes</vt:lpstr>
      <vt:lpstr>FCC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Stefanos Xenios</cp:lastModifiedBy>
  <cp:revision/>
  <dcterms:created xsi:type="dcterms:W3CDTF">2025-09-26T09:19:38Z</dcterms:created>
  <dcterms:modified xsi:type="dcterms:W3CDTF">2025-11-10T11:23:47Z</dcterms:modified>
  <cp:category/>
  <cp:contentStatus/>
</cp:coreProperties>
</file>